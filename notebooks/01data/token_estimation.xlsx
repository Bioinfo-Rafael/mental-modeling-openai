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ls-lab/Git/Matsuo/mental-modeling-openai/notebooks/01data/"/>
    </mc:Choice>
  </mc:AlternateContent>
  <xr:revisionPtr revIDLastSave="0" documentId="13_ncr:1_{8C57D2EA-FD98-FB43-BBF1-2C0F35364C70}" xr6:coauthVersionLast="47" xr6:coauthVersionMax="47" xr10:uidLastSave="{00000000-0000-0000-0000-000000000000}"/>
  <bookViews>
    <workbookView xWindow="0" yWindow="660" windowWidth="29400" windowHeight="17280" activeTab="1" xr2:uid="{00000000-000D-0000-FFFF-FFFF00000000}"/>
  </bookViews>
  <sheets>
    <sheet name="chatGPT3.5" sheetId="1" r:id="rId1"/>
    <sheet name="gpt-5.6-sol" sheetId="2" r:id="rId2"/>
    <sheet name="Sheet1" sheetId="7" r:id="rId3"/>
    <sheet name="gpt-5.6-terra" sheetId="3" r:id="rId4"/>
    <sheet name="gpt-5.6-luna" sheetId="4" r:id="rId5"/>
    <sheet name="Model_Prices" sheetId="5" r:id="rId6"/>
    <sheet name="task description" sheetId="6" r:id="rId7"/>
  </sheets>
  <definedNames>
    <definedName name="_xlnm._FilterDatabase" localSheetId="0" hidden="1">'chatGPT3.5'!$A$8:$O$28</definedName>
    <definedName name="_xlnm._FilterDatabase" localSheetId="4" hidden="1">'gpt-5.6-luna'!$A$8:$O$28</definedName>
    <definedName name="_xlnm._FilterDatabase" localSheetId="1" hidden="1">'gpt-5.6-sol'!$A$8:$O$28</definedName>
    <definedName name="_xlnm._FilterDatabase" localSheetId="3" hidden="1">'gpt-5.6-terra'!$A$8:$O$28</definedName>
    <definedName name="_xlnm._FilterDatabase" localSheetId="6" hidden="1">'task description'!$A$5:$J$25</definedName>
    <definedName name="_xlnm.Print_Titles" localSheetId="0">'chatGPT3.5'!$1:$8</definedName>
    <definedName name="_xlnm.Print_Titles" localSheetId="4">'gpt-5.6-luna'!$1:$8</definedName>
    <definedName name="_xlnm.Print_Titles" localSheetId="1">'gpt-5.6-sol'!$1:$8</definedName>
    <definedName name="_xlnm.Print_Titles" localSheetId="3">'gpt-5.6-terra'!$1:$8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H5" i="7"/>
  <c r="I5" i="7" s="1"/>
  <c r="J5" i="7" s="1"/>
  <c r="E5" i="7"/>
  <c r="B5" i="7"/>
  <c r="F5" i="7"/>
  <c r="G5" i="7" s="1"/>
  <c r="C5" i="7"/>
  <c r="D5" i="7" s="1"/>
  <c r="D3" i="7"/>
  <c r="G3" i="7"/>
  <c r="J3" i="7"/>
  <c r="J4" i="7"/>
  <c r="G4" i="7"/>
  <c r="D4" i="7"/>
  <c r="I4" i="7"/>
  <c r="I3" i="7" s="1"/>
  <c r="F4" i="7"/>
  <c r="C4" i="7"/>
  <c r="H4" i="7"/>
  <c r="H3" i="7" s="1"/>
  <c r="E4" i="7"/>
  <c r="B4" i="7"/>
  <c r="C3" i="7"/>
  <c r="E3" i="7"/>
  <c r="F3" i="7"/>
  <c r="B3" i="7"/>
  <c r="J26" i="4"/>
  <c r="K26" i="4" s="1"/>
  <c r="D26" i="4" s="1"/>
  <c r="I26" i="4"/>
  <c r="N26" i="4" s="1"/>
  <c r="C26" i="4"/>
  <c r="B26" i="4"/>
  <c r="N20" i="4"/>
  <c r="K20" i="4"/>
  <c r="D20" i="4" s="1"/>
  <c r="J20" i="4"/>
  <c r="I20" i="4"/>
  <c r="C20" i="4"/>
  <c r="B20" i="4"/>
  <c r="J19" i="4"/>
  <c r="K19" i="4" s="1"/>
  <c r="D19" i="4" s="1"/>
  <c r="I19" i="4"/>
  <c r="C19" i="4" s="1"/>
  <c r="B19" i="4" s="1"/>
  <c r="J18" i="4"/>
  <c r="K18" i="4" s="1"/>
  <c r="D18" i="4" s="1"/>
  <c r="I18" i="4"/>
  <c r="N18" i="4" s="1"/>
  <c r="C18" i="4"/>
  <c r="B18" i="4"/>
  <c r="N16" i="4"/>
  <c r="K16" i="4"/>
  <c r="D16" i="4" s="1"/>
  <c r="J16" i="4"/>
  <c r="I16" i="4"/>
  <c r="C16" i="4"/>
  <c r="B16" i="4"/>
  <c r="J15" i="4"/>
  <c r="K15" i="4" s="1"/>
  <c r="D15" i="4" s="1"/>
  <c r="I15" i="4"/>
  <c r="C15" i="4" s="1"/>
  <c r="B15" i="4" s="1"/>
  <c r="J14" i="4"/>
  <c r="K14" i="4" s="1"/>
  <c r="D14" i="4" s="1"/>
  <c r="I14" i="4"/>
  <c r="N14" i="4" s="1"/>
  <c r="C14" i="4"/>
  <c r="B14" i="4"/>
  <c r="N13" i="4"/>
  <c r="K13" i="4"/>
  <c r="J13" i="4"/>
  <c r="I13" i="4"/>
  <c r="D13" i="4"/>
  <c r="C13" i="4"/>
  <c r="B13" i="4"/>
  <c r="N11" i="4"/>
  <c r="J11" i="4"/>
  <c r="K11" i="4" s="1"/>
  <c r="D11" i="4" s="1"/>
  <c r="I11" i="4"/>
  <c r="C11" i="4" s="1"/>
  <c r="B11" i="4" s="1"/>
  <c r="J10" i="4"/>
  <c r="K10" i="4" s="1"/>
  <c r="D10" i="4" s="1"/>
  <c r="I10" i="4"/>
  <c r="N10" i="4" s="1"/>
  <c r="C10" i="4"/>
  <c r="B10" i="4" s="1"/>
  <c r="J9" i="4"/>
  <c r="K9" i="4" s="1"/>
  <c r="D9" i="4" s="1"/>
  <c r="I9" i="4"/>
  <c r="N9" i="4" s="1"/>
  <c r="C9" i="4"/>
  <c r="B9" i="4"/>
  <c r="B3" i="4"/>
  <c r="N26" i="3"/>
  <c r="K26" i="3"/>
  <c r="D26" i="3" s="1"/>
  <c r="J26" i="3"/>
  <c r="I26" i="3"/>
  <c r="C26" i="3"/>
  <c r="B26" i="3"/>
  <c r="J20" i="3"/>
  <c r="K20" i="3" s="1"/>
  <c r="D20" i="3" s="1"/>
  <c r="I20" i="3"/>
  <c r="C20" i="3" s="1"/>
  <c r="B20" i="3" s="1"/>
  <c r="J19" i="3"/>
  <c r="K19" i="3" s="1"/>
  <c r="D19" i="3" s="1"/>
  <c r="I19" i="3"/>
  <c r="N19" i="3" s="1"/>
  <c r="C19" i="3"/>
  <c r="B19" i="3"/>
  <c r="N18" i="3"/>
  <c r="K18" i="3"/>
  <c r="J18" i="3"/>
  <c r="I18" i="3"/>
  <c r="D18" i="3"/>
  <c r="C18" i="3"/>
  <c r="B18" i="3"/>
  <c r="N16" i="3"/>
  <c r="J16" i="3"/>
  <c r="K16" i="3" s="1"/>
  <c r="D16" i="3" s="1"/>
  <c r="I16" i="3"/>
  <c r="C16" i="3" s="1"/>
  <c r="B16" i="3" s="1"/>
  <c r="J15" i="3"/>
  <c r="K15" i="3" s="1"/>
  <c r="D15" i="3" s="1"/>
  <c r="I15" i="3"/>
  <c r="N15" i="3" s="1"/>
  <c r="C15" i="3"/>
  <c r="B15" i="3" s="1"/>
  <c r="J14" i="3"/>
  <c r="K14" i="3" s="1"/>
  <c r="D14" i="3" s="1"/>
  <c r="I14" i="3"/>
  <c r="N14" i="3" s="1"/>
  <c r="C14" i="3"/>
  <c r="B14" i="3"/>
  <c r="N13" i="3"/>
  <c r="K13" i="3"/>
  <c r="D13" i="3" s="1"/>
  <c r="J13" i="3"/>
  <c r="I13" i="3"/>
  <c r="C13" i="3"/>
  <c r="B13" i="3"/>
  <c r="J11" i="3"/>
  <c r="K11" i="3" s="1"/>
  <c r="D11" i="3" s="1"/>
  <c r="I11" i="3"/>
  <c r="C11" i="3" s="1"/>
  <c r="B11" i="3" s="1"/>
  <c r="J10" i="3"/>
  <c r="K10" i="3" s="1"/>
  <c r="D10" i="3" s="1"/>
  <c r="I10" i="3"/>
  <c r="N10" i="3" s="1"/>
  <c r="C10" i="3"/>
  <c r="B10" i="3"/>
  <c r="N9" i="3"/>
  <c r="K9" i="3"/>
  <c r="D9" i="3" s="1"/>
  <c r="J9" i="3"/>
  <c r="I9" i="3"/>
  <c r="C9" i="3"/>
  <c r="B9" i="3"/>
  <c r="B3" i="3"/>
  <c r="N26" i="2"/>
  <c r="J26" i="2"/>
  <c r="K26" i="2" s="1"/>
  <c r="D26" i="2" s="1"/>
  <c r="I26" i="2"/>
  <c r="C26" i="2" s="1"/>
  <c r="B26" i="2" s="1"/>
  <c r="J20" i="2"/>
  <c r="K20" i="2" s="1"/>
  <c r="D20" i="2" s="1"/>
  <c r="I20" i="2"/>
  <c r="N20" i="2" s="1"/>
  <c r="C20" i="2"/>
  <c r="B20" i="2" s="1"/>
  <c r="J19" i="2"/>
  <c r="K19" i="2" s="1"/>
  <c r="D19" i="2" s="1"/>
  <c r="I19" i="2"/>
  <c r="N19" i="2" s="1"/>
  <c r="C19" i="2"/>
  <c r="B19" i="2"/>
  <c r="N18" i="2"/>
  <c r="K18" i="2"/>
  <c r="D18" i="2" s="1"/>
  <c r="J18" i="2"/>
  <c r="I18" i="2"/>
  <c r="C18" i="2"/>
  <c r="B18" i="2"/>
  <c r="K16" i="2"/>
  <c r="J16" i="2"/>
  <c r="I16" i="2"/>
  <c r="N16" i="2" s="1"/>
  <c r="D16" i="2"/>
  <c r="J15" i="2"/>
  <c r="K15" i="2" s="1"/>
  <c r="D15" i="2" s="1"/>
  <c r="I15" i="2"/>
  <c r="N15" i="2" s="1"/>
  <c r="C15" i="2"/>
  <c r="B15" i="2"/>
  <c r="N14" i="2"/>
  <c r="K14" i="2"/>
  <c r="D14" i="2" s="1"/>
  <c r="J14" i="2"/>
  <c r="I14" i="2"/>
  <c r="C14" i="2"/>
  <c r="B14" i="2"/>
  <c r="J13" i="2"/>
  <c r="K13" i="2" s="1"/>
  <c r="D13" i="2" s="1"/>
  <c r="I13" i="2"/>
  <c r="C13" i="2" s="1"/>
  <c r="B13" i="2" s="1"/>
  <c r="J11" i="2"/>
  <c r="K11" i="2" s="1"/>
  <c r="D11" i="2" s="1"/>
  <c r="I11" i="2"/>
  <c r="N11" i="2" s="1"/>
  <c r="C11" i="2"/>
  <c r="B11" i="2"/>
  <c r="N10" i="2"/>
  <c r="K10" i="2"/>
  <c r="J10" i="2"/>
  <c r="I10" i="2"/>
  <c r="D10" i="2"/>
  <c r="C10" i="2"/>
  <c r="B10" i="2"/>
  <c r="N9" i="2"/>
  <c r="J9" i="2"/>
  <c r="K9" i="2" s="1"/>
  <c r="D9" i="2" s="1"/>
  <c r="I9" i="2"/>
  <c r="C9" i="2" s="1"/>
  <c r="B9" i="2" s="1"/>
  <c r="B3" i="2"/>
  <c r="J26" i="1"/>
  <c r="K26" i="1" s="1"/>
  <c r="D26" i="1" s="1"/>
  <c r="I26" i="1"/>
  <c r="N26" i="1" s="1"/>
  <c r="J20" i="1"/>
  <c r="K20" i="1" s="1"/>
  <c r="D20" i="1" s="1"/>
  <c r="I20" i="1"/>
  <c r="N20" i="1" s="1"/>
  <c r="C20" i="1"/>
  <c r="B20" i="1"/>
  <c r="N19" i="1"/>
  <c r="K19" i="1"/>
  <c r="D19" i="1" s="1"/>
  <c r="J19" i="1"/>
  <c r="I19" i="1"/>
  <c r="C19" i="1"/>
  <c r="B19" i="1"/>
  <c r="J18" i="1"/>
  <c r="K18" i="1" s="1"/>
  <c r="D18" i="1" s="1"/>
  <c r="I18" i="1"/>
  <c r="C18" i="1" s="1"/>
  <c r="B18" i="1" s="1"/>
  <c r="K16" i="1"/>
  <c r="D16" i="1" s="1"/>
  <c r="J16" i="1"/>
  <c r="I16" i="1"/>
  <c r="N16" i="1" s="1"/>
  <c r="C16" i="1"/>
  <c r="B16" i="1"/>
  <c r="N15" i="1"/>
  <c r="K15" i="1"/>
  <c r="J15" i="1"/>
  <c r="I15" i="1"/>
  <c r="D15" i="1"/>
  <c r="C15" i="1"/>
  <c r="B15" i="1"/>
  <c r="N14" i="1"/>
  <c r="J14" i="1"/>
  <c r="K14" i="1" s="1"/>
  <c r="D14" i="1" s="1"/>
  <c r="I14" i="1"/>
  <c r="C14" i="1" s="1"/>
  <c r="B14" i="1" s="1"/>
  <c r="J13" i="1"/>
  <c r="K13" i="1" s="1"/>
  <c r="D13" i="1" s="1"/>
  <c r="I13" i="1"/>
  <c r="N13" i="1" s="1"/>
  <c r="C13" i="1"/>
  <c r="B13" i="1" s="1"/>
  <c r="J11" i="1"/>
  <c r="K11" i="1" s="1"/>
  <c r="D11" i="1" s="1"/>
  <c r="I11" i="1"/>
  <c r="N11" i="1" s="1"/>
  <c r="C11" i="1"/>
  <c r="B11" i="1"/>
  <c r="N10" i="1"/>
  <c r="K10" i="1"/>
  <c r="D10" i="1" s="1"/>
  <c r="J10" i="1"/>
  <c r="I10" i="1"/>
  <c r="C10" i="1"/>
  <c r="B10" i="1"/>
  <c r="J9" i="1"/>
  <c r="K9" i="1" s="1"/>
  <c r="D9" i="1" s="1"/>
  <c r="I9" i="1"/>
  <c r="N9" i="1" s="1"/>
  <c r="B3" i="1"/>
  <c r="N11" i="3" l="1"/>
  <c r="N19" i="4"/>
  <c r="C9" i="1"/>
  <c r="B9" i="1" s="1"/>
  <c r="C26" i="1"/>
  <c r="B26" i="1" s="1"/>
  <c r="C16" i="2"/>
  <c r="B16" i="2" s="1"/>
  <c r="N18" i="1"/>
  <c r="N13" i="2"/>
  <c r="N20" i="3"/>
  <c r="N15" i="4"/>
</calcChain>
</file>

<file path=xl/sharedStrings.xml><?xml version="1.0" encoding="utf-8"?>
<sst xmlns="http://schemas.openxmlformats.org/spreadsheetml/2006/main" count="1737" uniqueCount="182">
  <si>
    <t>chatGPT3.5</t>
  </si>
  <si>
    <t>Input USD / 1M</t>
  </si>
  <si>
    <t>API model</t>
  </si>
  <si>
    <t>gpt-3.5-turbo</t>
  </si>
  <si>
    <t>Price checked</t>
  </si>
  <si>
    <t>2026-09-09</t>
  </si>
  <si>
    <t>Encoding</t>
  </si>
  <si>
    <t>cl100k_base</t>
  </si>
  <si>
    <t>tiktoken</t>
  </si>
  <si>
    <t>0.14.0</t>
  </si>
  <si>
    <t>Seed / max samples</t>
  </si>
  <si>
    <t>42 / 10000</t>
  </si>
  <si>
    <t>H = actual history steps. Upstream H = H-1. Input only; standard uncached rates; +9 framing is an estimate.</t>
  </si>
  <si>
    <t>タスク</t>
  </si>
  <si>
    <t>100回分金額</t>
  </si>
  <si>
    <t>H=10 合計金額
平均（USD）</t>
  </si>
  <si>
    <t>H=10 合計金額
平均＋履歴標準偏差（USD）</t>
  </si>
  <si>
    <t>固定部分＋質問
平均トークン数</t>
  </si>
  <si>
    <t>H=1 履歴
平均トークン数</t>
  </si>
  <si>
    <t>H=1 履歴
標準偏差（トークン）</t>
  </si>
  <si>
    <t>H=10 履歴
平均トークン数</t>
  </si>
  <si>
    <t>H=10 合計
平均トークン数</t>
  </si>
  <si>
    <t>H=10 履歴
平均＋標準偏差（トークン）</t>
  </si>
  <si>
    <t>H=10 合計
平均＋履歴標準偏差（トークン）</t>
  </si>
  <si>
    <t>H=10 履歴
標準偏差（トークン）</t>
  </si>
  <si>
    <t>H=10 プロンプト全体
平均トークン数</t>
  </si>
  <si>
    <t>H=10 分割集計－全体集計
平均差（トークン）</t>
  </si>
  <si>
    <t>計測状況</t>
  </si>
  <si>
    <t>Acrobot-v1</t>
  </si>
  <si>
    <t>ok</t>
  </si>
  <si>
    <t>MountainCar-v0</t>
  </si>
  <si>
    <t>Pendulum-v1</t>
  </si>
  <si>
    <t>BipedalWalker-v3</t>
  </si>
  <si>
    <t>n.a.</t>
  </si>
  <si>
    <t>UNSUPPORTED_TASK: Original LLM-X task class/description is unavailable; raw inspection only.</t>
  </si>
  <si>
    <t>CartPole-v1</t>
  </si>
  <si>
    <t>FetchPickAndPlace-v2</t>
  </si>
  <si>
    <t>FetchPush-v2</t>
  </si>
  <si>
    <t>FetchSlide-v2</t>
  </si>
  <si>
    <t>HalfCheetah-v4</t>
  </si>
  <si>
    <t>InvertedDoublePendulum-v4</t>
  </si>
  <si>
    <t>InvertedPendulum-v4</t>
  </si>
  <si>
    <t>LunarLander-v2</t>
  </si>
  <si>
    <t>MiniGrid-DoorKey-5x5-v0</t>
  </si>
  <si>
    <t>MiniGrid-Empty-Random-5x5-v0</t>
  </si>
  <si>
    <t>MiniGrid-Fetch-5x5-N2-v0</t>
  </si>
  <si>
    <t>MiniGrid-GoToDoor-5x5-v0</t>
  </si>
  <si>
    <t>MiniGrid-KeyCorridorS3R1-v0</t>
  </si>
  <si>
    <t>MiniGrid-Unlock-v0</t>
  </si>
  <si>
    <t>Pusher-v4</t>
  </si>
  <si>
    <t>Reacher-v4</t>
  </si>
  <si>
    <t>実際の履歴長H
（ステップ）</t>
  </si>
  <si>
    <t>公式関数へ渡すH</t>
  </si>
  <si>
    <t>有効ウィンドウ数</t>
  </si>
  <si>
    <t>抽出ウィンドウ数</t>
  </si>
  <si>
    <t>抽出対象エピソード数</t>
  </si>
  <si>
    <t>抽出済みエピソード数</t>
  </si>
  <si>
    <t>rawファイル数</t>
  </si>
  <si>
    <t>標準偏差のddof</t>
  </si>
  <si>
    <t>固定部分＋質問
標準偏差（トークン）</t>
  </si>
  <si>
    <t>Method</t>
  </si>
  <si>
    <t>Uniform random sample without replacement over ALL valid (episode, target index) pairs per task/H. Windows never cross files.</t>
  </si>
  <si>
    <t>History</t>
  </si>
  <si>
    <t>Excel H=1/10 means 1/10 consecutive steps, using existing Notebook builder with history_size=0/9. Labels and numeric precision unchanged.</t>
  </si>
  <si>
    <t>Fixed/question</t>
  </si>
  <si>
    <t>Tokenize whole user message with history span removed; preserve prefix, suffix, question and all separators. System stays a separate message. Add +9 once.</t>
  </si>
  <si>
    <t>Additive total</t>
  </si>
  <si>
    <t>Required total = fixed/question mean + history mean. BPE boundaries can differ from counting complete user text; column M counts full messages, N shows the difference.</t>
  </si>
  <si>
    <t>B列 = C列の平均入力金額（USD） x 100。同じ条件の入力100回分。キャッシュ割引・出力料金は含まない。</t>
  </si>
  <si>
    <t>Mean + std</t>
  </si>
  <si>
    <t>Population std (ddof=0) of complete history windows. Not a confidence interval, not p95, and not std of total prompt.</t>
  </si>
  <si>
    <t>Pricing</t>
  </si>
  <si>
    <t>One input request; standard uncached input, no output/tools/cache fees. The +9 framing is inherited from count_query, not model-specific API usage.</t>
  </si>
  <si>
    <t>Unavailable</t>
  </si>
  <si>
    <t>n.a. is deliberate: unsupported upstream task or unverified tokenizer. No zero filling, proxy task, or guessed encoding.</t>
  </si>
  <si>
    <t>Tokenizer evidence</t>
  </si>
  <si>
    <t>tiktoken.encoding_for_model</t>
  </si>
  <si>
    <t>Tokenizer code</t>
  </si>
  <si>
    <t>tiktoken 0.14.0 model.py: GPT-3.5 exact mapping; GPT-5.6 uses library gpt-5 prefix mapping. GPT-6 mapping absent.</t>
  </si>
  <si>
    <t>Price source</t>
  </si>
  <si>
    <t>Model_Prices sheet: editable rates, check date and official sources. Cost = total tokens / 1000000 * Input price.</t>
  </si>
  <si>
    <t>Counting limits</t>
  </si>
  <si>
    <t>https://developers.openai.com/api/docs/guides/token-counting</t>
  </si>
  <si>
    <t>Notebook</t>
  </si>
  <si>
    <t>notebooks/01_data_and_token_inspection.ipynb</t>
  </si>
  <si>
    <t>Reused functions</t>
  </si>
  <si>
    <t>queries_for_sequence / selected_query / count_query; upstream Episode.history_text / render_question / system_prompt / user_prompt.</t>
  </si>
  <si>
    <t>Data</t>
  </si>
  <si>
    <t>data/llmx_data/offline_data/&lt;dataset&gt;/raw_transitions/&lt;task&gt;/episodes/*.npz; one file = one episode.</t>
  </si>
  <si>
    <t>Reproduce</t>
  </si>
  <si>
    <t>.venv/bin/python notebooks/01_token_estimation.py --samples 10000 --seed 42 --h-values 1 10</t>
  </si>
  <si>
    <t>Evidence</t>
  </si>
  <si>
    <t>outputs/token_estimation/audit.json includes source hashes, selected windows, config hashes and representative exact prompt strings.</t>
  </si>
  <si>
    <t>gpt-5.6-sol</t>
  </si>
  <si>
    <t>o200k_base</t>
  </si>
  <si>
    <t>tiktoken.encoding_for_model (library prefix mapping, not model-specific API verification)</t>
  </si>
  <si>
    <t>gpt-5.6-terra</t>
  </si>
  <si>
    <t>gpt-5.6-luna</t>
  </si>
  <si>
    <t>Model prices (USD / 1M tokens)</t>
  </si>
  <si>
    <t>Edit yellow price cells. Cost columns use Input only; token statistics do not change.</t>
  </si>
  <si>
    <t>モデル</t>
  </si>
  <si>
    <t>APIモデルID</t>
  </si>
  <si>
    <t>入力単価</t>
  </si>
  <si>
    <t>キャッシュ入力単価</t>
  </si>
  <si>
    <t>キャッシュ書込単価</t>
  </si>
  <si>
    <t>出力単価</t>
  </si>
  <si>
    <t>確認日</t>
  </si>
  <si>
    <t>公式情報の参照先</t>
  </si>
  <si>
    <t>https://developers.openai.com/api/docs/models/gpt-3.5-turbo</t>
  </si>
  <si>
    <t>gpt-6-astra</t>
  </si>
  <si>
    <t>https://developers.openai.com/api/docs/models/gpt-6-astra</t>
  </si>
  <si>
    <t>https://developers.openai.com/api/docs/models/gpt-5.6-sol</t>
  </si>
  <si>
    <t>https://developers.openai.com/api/docs/models/gpt-5.6-terra</t>
  </si>
  <si>
    <t>https://developers.openai.com/api/docs/models/gpt-5.6-luna</t>
  </si>
  <si>
    <t>Standard rates. GPT-5.6/GPT-6 rows apply to requests up to 272K input tokens. No Batch/Flex/Fast adjustments.</t>
  </si>
  <si>
    <t>Cache write = published 1.25x Input rate for GPT-5.6/GPT-6. GPT-3.5 cache rates are not listed (n.a.), not zero.</t>
  </si>
  <si>
    <t>Astra price is retained for reference; its estimate sheet is omitted at user request.</t>
  </si>
  <si>
    <t>Keep model rows in place; formulas use direct row references. Rerunning the script restores the prices in MODELS.</t>
  </si>
  <si>
    <t>Task description: official raw episodes</t>
  </si>
  <si>
    <t>All available episodes, not sampled windows. Raw dimensions are before preprocessing.</t>
  </si>
  <si>
    <t>データセット</t>
  </si>
  <si>
    <t>エピソード数</t>
  </si>
  <si>
    <t>総タイムステップ数</t>
  </si>
  <si>
    <t>平均エピソード長
（ステップ）</t>
  </si>
  <si>
    <t>最小エピソード長
（ステップ）</t>
  </si>
  <si>
    <t>最大エピソード長
（ステップ）</t>
  </si>
  <si>
    <t>状態の次元数</t>
  </si>
  <si>
    <t>行動の次元数</t>
  </si>
  <si>
    <t>報酬の次元数</t>
  </si>
  <si>
    <t>physics_data</t>
  </si>
  <si>
    <t>robotics_data</t>
  </si>
  <si>
    <t>mujoco_data</t>
  </si>
  <si>
    <t>minigrid_data</t>
  </si>
  <si>
    <t>状態配列の形状</t>
  </si>
  <si>
    <t>行動配列の形状</t>
  </si>
  <si>
    <t>報酬配列の形状</t>
  </si>
  <si>
    <t>状態のデータ型</t>
  </si>
  <si>
    <t>行動のデータ型</t>
  </si>
  <si>
    <t>報酬のデータ型</t>
  </si>
  <si>
    <t>NPZ内の配列キー</t>
  </si>
  <si>
    <t>エピソードファイル
合計容量（バイト）</t>
  </si>
  <si>
    <t>時間軸を除く
スキーマの一致</t>
  </si>
  <si>
    <t>行動の種別
（観測値から推定）</t>
  </si>
  <si>
    <t>('T', 1, 6)</t>
  </si>
  <si>
    <t>('T', 1)</t>
  </si>
  <si>
    <t>float32</t>
  </si>
  <si>
    <t>int64</t>
  </si>
  <si>
    <t>float64</t>
  </si>
  <si>
    <t>actions, episodic_return, rewards, states</t>
  </si>
  <si>
    <t>discrete</t>
  </si>
  <si>
    <t>('T', 1, 2)</t>
  </si>
  <si>
    <t>('T', 1, 3)</t>
  </si>
  <si>
    <t>('T', 1, 1)</t>
  </si>
  <si>
    <t>continuous</t>
  </si>
  <si>
    <t>('T', 1, 24)</t>
  </si>
  <si>
    <t>('T', 1, 4)</t>
  </si>
  <si>
    <t>('T', 1, 26)</t>
  </si>
  <si>
    <t>achieved_goals, actions, desired_goals, episodic_return, rewards, states</t>
  </si>
  <si>
    <t>('T', 1, 17)</t>
  </si>
  <si>
    <t>('T', 1, 11)</t>
  </si>
  <si>
    <t>('T', 1, 8)</t>
  </si>
  <si>
    <t>('T', 7, 7, 3)</t>
  </si>
  <si>
    <t>uint8</t>
  </si>
  <si>
    <t>actions, agent_dirs, dir_vectors, episodic_return, rewards, states</t>
  </si>
  <si>
    <t>('T', 1, 23)</t>
  </si>
  <si>
    <t>('T', 1, 7)</t>
  </si>
  <si>
    <t>Source: tools.inventory_llmx_data.create_inventory -&gt; tools.live_inspection.official_frames, as in notebooks/01_data_and_token_inspection.ipynb.</t>
  </si>
  <si>
    <t>Raw files: data/llmx_data/offline_data/&lt;dataset&gt;/raw_transitions/&lt;task&gt;/episodes/*.npz. One file = one episode.</t>
  </si>
  <si>
    <t>Episode length = states.shape[0]. Total = sum of lengths. Mean = arithmetic mean across episodes; min/max use the same population.</t>
  </si>
  <si>
    <t>Dimensions = product of shape[1:] (all non-time axes), not ndarray.ndim. Discrete action dimension 1 is not the number of possible actions.</t>
  </si>
  <si>
    <t>T denotes the episode time axis. Singleton axes are retained. All observed shape/dtype variants are listed; multiple dimensions appear as a list.</t>
  </si>
  <si>
    <t>Raw dimensions differ from processed input selection (e.g. Fetch feature selection). No raw arrays are modified.</t>
  </si>
  <si>
    <t>action_kind_observed is the inventory heuristic: a scalar integer-valued action is labelled discrete. This is not verified environment action-space metadata.</t>
  </si>
  <si>
    <t>raw_episode_files_size_bytes is NPZ container size. schema_consistent_except_T checks every NPZ key/shape/dtype with the time length abstracted as T.</t>
  </si>
  <si>
    <t>MountainCar</t>
    <phoneticPr fontId="4"/>
  </si>
  <si>
    <t>Pendulum</t>
    <phoneticPr fontId="4"/>
  </si>
  <si>
    <t>Fetch系(アーム)</t>
    <rPh sb="5" eb="6">
      <t>ケイ</t>
    </rPh>
    <phoneticPr fontId="4"/>
  </si>
  <si>
    <t>Input</t>
    <phoneticPr fontId="4"/>
  </si>
  <si>
    <t>Output</t>
    <phoneticPr fontId="4"/>
  </si>
  <si>
    <t>Σ</t>
    <phoneticPr fontId="4"/>
  </si>
  <si>
    <t>6-astra</t>
    <phoneticPr fontId="4"/>
  </si>
  <si>
    <t>5.6-sol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</si>
</sst>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0.00000000"/>
    <numFmt numFmtId="177" formatCode="&quot;$&quot;0.00"/>
    <numFmt numFmtId="191" formatCode="0.00_ "/>
  </numFmts>
  <fonts count="7">
    <font>
      <sz val="11"/>
      <color theme="1"/>
      <name val="ＭＳ Ｐゴシック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6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0CD"/>
      </patternFill>
    </fill>
    <fill>
      <patternFill patternType="solid">
        <fgColor rgb="FF283C58"/>
      </patternFill>
    </fill>
    <fill>
      <patternFill patternType="solid">
        <fgColor rgb="FF9C57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2" fontId="0" fillId="0" borderId="0" xfId="0" applyNumberFormat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2" fontId="0" fillId="5" borderId="0" xfId="0" applyNumberFormat="1" applyFill="1"/>
    <xf numFmtId="0" fontId="5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7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left"/>
    </xf>
    <xf numFmtId="0" fontId="5" fillId="0" borderId="5" xfId="0" applyFont="1" applyBorder="1"/>
    <xf numFmtId="0" fontId="6" fillId="0" borderId="5" xfId="0" applyFont="1" applyBorder="1"/>
    <xf numFmtId="19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0"/>
  <sheetViews>
    <sheetView showGridLines="0" zoomScale="85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4" customWidth="1"/>
    <col min="2" max="2" width="23" customWidth="1"/>
    <col min="3" max="3" width="24" customWidth="1"/>
    <col min="4" max="4" width="30" customWidth="1"/>
    <col min="5" max="5" width="23" customWidth="1"/>
    <col min="6" max="6" width="21" customWidth="1"/>
    <col min="7" max="8" width="23" customWidth="1"/>
    <col min="9" max="9" width="24" customWidth="1"/>
    <col min="10" max="10" width="30" customWidth="1"/>
    <col min="11" max="11" width="32" customWidth="1"/>
    <col min="12" max="12" width="23" customWidth="1"/>
    <col min="13" max="13" width="27" customWidth="1"/>
    <col min="14" max="14" width="32" customWidth="1"/>
    <col min="15" max="15" width="46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1</v>
      </c>
      <c r="B3" s="3">
        <f>Model_Prices!$C$6</f>
        <v>0.5</v>
      </c>
      <c r="C3" s="1"/>
      <c r="D3" s="1" t="s">
        <v>2</v>
      </c>
      <c r="E3" s="1" t="s">
        <v>3</v>
      </c>
      <c r="F3" s="1"/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7</v>
      </c>
      <c r="C4" s="1"/>
      <c r="D4" s="1" t="s">
        <v>8</v>
      </c>
      <c r="E4" s="1" t="s">
        <v>9</v>
      </c>
      <c r="F4" s="1"/>
      <c r="G4" s="1" t="s">
        <v>10</v>
      </c>
      <c r="H4" s="1" t="s">
        <v>11</v>
      </c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74" customHeight="1">
      <c r="A8" s="4" t="s">
        <v>13</v>
      </c>
      <c r="B8" s="5" t="s">
        <v>14</v>
      </c>
      <c r="C8" s="5" t="s">
        <v>15</v>
      </c>
      <c r="D8" s="5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</row>
    <row r="9" spans="1:15" ht="29" customHeight="1">
      <c r="A9" s="1" t="s">
        <v>28</v>
      </c>
      <c r="B9" s="6">
        <f>C9*100</f>
        <v>6.7701002865329513E-2</v>
      </c>
      <c r="C9" s="6">
        <f>I9/1000000*Model_Prices!$C$6</f>
        <v>6.7701002865329515E-4</v>
      </c>
      <c r="D9" s="6">
        <f>K9/1000000*Model_Prices!$C$6</f>
        <v>6.802572239262317E-4</v>
      </c>
      <c r="E9" s="7">
        <v>771.27220630372494</v>
      </c>
      <c r="F9" s="7">
        <v>58.284263959390863</v>
      </c>
      <c r="G9" s="7">
        <v>1.9924746981357699</v>
      </c>
      <c r="H9" s="7">
        <v>582.74785100286533</v>
      </c>
      <c r="I9" s="7">
        <f>E9+H9</f>
        <v>1354.0200573065904</v>
      </c>
      <c r="J9" s="7">
        <f>H9+L9</f>
        <v>589.24224154873855</v>
      </c>
      <c r="K9" s="7">
        <f>E9+J9</f>
        <v>1360.5144478524635</v>
      </c>
      <c r="L9" s="7">
        <v>6.4943905458731903</v>
      </c>
      <c r="M9" s="7">
        <v>1354.0200573065899</v>
      </c>
      <c r="N9" s="7">
        <f>ROUND(I9-M9,9)</f>
        <v>0</v>
      </c>
      <c r="O9" s="8" t="s">
        <v>29</v>
      </c>
    </row>
    <row r="10" spans="1:15" ht="29" customHeight="1">
      <c r="A10" s="1" t="s">
        <v>30</v>
      </c>
      <c r="B10" s="6">
        <f>C10*100</f>
        <v>4.5123485653560037E-2</v>
      </c>
      <c r="C10" s="6">
        <f>I10/1000000*Model_Prices!$C$6</f>
        <v>4.5123485653560038E-4</v>
      </c>
      <c r="D10" s="6">
        <f>K10/1000000*Model_Prices!$C$6</f>
        <v>4.5488656488553157E-4</v>
      </c>
      <c r="E10" s="7">
        <v>581.1434643995749</v>
      </c>
      <c r="F10" s="7">
        <v>32.086323957322989</v>
      </c>
      <c r="G10" s="7">
        <v>1.098149915739052</v>
      </c>
      <c r="H10" s="7">
        <v>321.32624867162588</v>
      </c>
      <c r="I10" s="7">
        <f>E10+H10</f>
        <v>902.46971307120077</v>
      </c>
      <c r="J10" s="7">
        <f>H10+L10</f>
        <v>328.62966537148827</v>
      </c>
      <c r="K10" s="7">
        <f>E10+J10</f>
        <v>909.77312977106317</v>
      </c>
      <c r="L10" s="7">
        <v>7.3034166998623826</v>
      </c>
      <c r="M10" s="7">
        <v>902.46971307120089</v>
      </c>
      <c r="N10" s="7">
        <f>ROUND(I10-M10,9)</f>
        <v>0</v>
      </c>
      <c r="O10" s="8" t="s">
        <v>29</v>
      </c>
    </row>
    <row r="11" spans="1:15" ht="29" customHeight="1">
      <c r="A11" s="1" t="s">
        <v>31</v>
      </c>
      <c r="B11" s="6">
        <f>C11*100</f>
        <v>7.3394789473684205E-2</v>
      </c>
      <c r="C11" s="6">
        <f>I11/1000000*Model_Prices!$C$6</f>
        <v>7.3394789473684211E-4</v>
      </c>
      <c r="D11" s="6">
        <f>K11/1000000*Model_Prices!$C$6</f>
        <v>7.3629585682544782E-4</v>
      </c>
      <c r="E11" s="7">
        <v>1023.471052631579</v>
      </c>
      <c r="F11" s="7">
        <v>44.422613065326637</v>
      </c>
      <c r="G11" s="7">
        <v>1.4433319930776001</v>
      </c>
      <c r="H11" s="7">
        <v>444.42473684210529</v>
      </c>
      <c r="I11" s="7">
        <f>E11+H11</f>
        <v>1467.8957894736843</v>
      </c>
      <c r="J11" s="7">
        <f>H11+L11</f>
        <v>449.12066101931646</v>
      </c>
      <c r="K11" s="7">
        <f>E11+J11</f>
        <v>1472.5917136508956</v>
      </c>
      <c r="L11" s="7">
        <v>4.6959241772111637</v>
      </c>
      <c r="M11" s="7">
        <v>1467.8957894736841</v>
      </c>
      <c r="N11" s="7">
        <f>ROUND(I11-M11,9)</f>
        <v>0</v>
      </c>
      <c r="O11" s="8" t="s">
        <v>29</v>
      </c>
    </row>
    <row r="12" spans="1:15" ht="58" customHeight="1">
      <c r="A12" s="1" t="s">
        <v>32</v>
      </c>
      <c r="B12" s="6" t="s">
        <v>33</v>
      </c>
      <c r="C12" s="6" t="s">
        <v>33</v>
      </c>
      <c r="D12" s="6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 t="s">
        <v>33</v>
      </c>
      <c r="O12" s="9" t="s">
        <v>34</v>
      </c>
    </row>
    <row r="13" spans="1:15" ht="29" customHeight="1">
      <c r="A13" s="1" t="s">
        <v>35</v>
      </c>
      <c r="B13" s="6">
        <f>C13*100</f>
        <v>5.984720408163266E-2</v>
      </c>
      <c r="C13" s="6">
        <f>I13/1000000*Model_Prices!$C$6</f>
        <v>5.9847204081632662E-4</v>
      </c>
      <c r="D13" s="6">
        <f>K13/1000000*Model_Prices!$C$6</f>
        <v>6.0117444017751878E-4</v>
      </c>
      <c r="E13" s="7">
        <v>745.26857142857148</v>
      </c>
      <c r="F13" s="7">
        <v>45.168336673346687</v>
      </c>
      <c r="G13" s="7">
        <v>1.4070105886135671</v>
      </c>
      <c r="H13" s="7">
        <v>451.67551020408172</v>
      </c>
      <c r="I13" s="7">
        <f>E13+H13</f>
        <v>1196.9440816326533</v>
      </c>
      <c r="J13" s="7">
        <f>H13+L13</f>
        <v>457.0803089264661</v>
      </c>
      <c r="K13" s="7">
        <f>E13+J13</f>
        <v>1202.3488803550376</v>
      </c>
      <c r="L13" s="7">
        <v>5.4047987223843696</v>
      </c>
      <c r="M13" s="7">
        <v>1196.944081632653</v>
      </c>
      <c r="N13" s="7">
        <f>ROUND(I13-M13,9)</f>
        <v>0</v>
      </c>
      <c r="O13" s="8" t="s">
        <v>29</v>
      </c>
    </row>
    <row r="14" spans="1:15" ht="29" customHeight="1">
      <c r="A14" s="1" t="s">
        <v>36</v>
      </c>
      <c r="B14" s="6">
        <f>C14*100</f>
        <v>0.24996599999999999</v>
      </c>
      <c r="C14" s="6">
        <f>I14/1000000*Model_Prices!$C$6</f>
        <v>2.4996599999999999E-3</v>
      </c>
      <c r="D14" s="6">
        <f>K14/1000000*Model_Prices!$C$6</f>
        <v>2.5113621087843175E-3</v>
      </c>
      <c r="E14" s="7">
        <v>2161.06</v>
      </c>
      <c r="F14" s="7">
        <v>283.51428571428568</v>
      </c>
      <c r="G14" s="7">
        <v>7.493725266337627</v>
      </c>
      <c r="H14" s="7">
        <v>2838.26</v>
      </c>
      <c r="I14" s="7">
        <f>E14+H14</f>
        <v>4999.32</v>
      </c>
      <c r="J14" s="7">
        <f>H14+L14</f>
        <v>2861.6642175686352</v>
      </c>
      <c r="K14" s="7">
        <f>E14+J14</f>
        <v>5022.7242175686351</v>
      </c>
      <c r="L14" s="7">
        <v>23.40421756863493</v>
      </c>
      <c r="M14" s="7">
        <v>4999.32</v>
      </c>
      <c r="N14" s="7">
        <f>ROUND(I14-M14,9)</f>
        <v>0</v>
      </c>
      <c r="O14" s="8" t="s">
        <v>29</v>
      </c>
    </row>
    <row r="15" spans="1:15" ht="29" customHeight="1">
      <c r="A15" s="1" t="s">
        <v>37</v>
      </c>
      <c r="B15" s="6">
        <f>C15*100</f>
        <v>0.249763875</v>
      </c>
      <c r="C15" s="6">
        <f>I15/1000000*Model_Prices!$C$6</f>
        <v>2.49763875E-3</v>
      </c>
      <c r="D15" s="6">
        <f>K15/1000000*Model_Prices!$C$6</f>
        <v>2.5068417535857868E-3</v>
      </c>
      <c r="E15" s="7">
        <v>2138.1075000000001</v>
      </c>
      <c r="F15" s="7">
        <v>285.72653061224491</v>
      </c>
      <c r="G15" s="7">
        <v>4.2420045083737108</v>
      </c>
      <c r="H15" s="7">
        <v>2857.17</v>
      </c>
      <c r="I15" s="7">
        <f>E15+H15</f>
        <v>4995.2775000000001</v>
      </c>
      <c r="J15" s="7">
        <f>H15+L15</f>
        <v>2875.5760071715731</v>
      </c>
      <c r="K15" s="7">
        <f>E15+J15</f>
        <v>5013.6835071715732</v>
      </c>
      <c r="L15" s="7">
        <v>18.406007171573091</v>
      </c>
      <c r="M15" s="7">
        <v>4995.2775000000001</v>
      </c>
      <c r="N15" s="7">
        <f>ROUND(I15-M15,9)</f>
        <v>0</v>
      </c>
      <c r="O15" s="8" t="s">
        <v>29</v>
      </c>
    </row>
    <row r="16" spans="1:15" ht="29" customHeight="1">
      <c r="A16" s="1" t="s">
        <v>38</v>
      </c>
      <c r="B16" s="6">
        <f>C16*100</f>
        <v>0.25145474999999995</v>
      </c>
      <c r="C16" s="6">
        <f>I16/1000000*Model_Prices!$C$6</f>
        <v>2.5145474999999995E-3</v>
      </c>
      <c r="D16" s="6">
        <f>K16/1000000*Model_Prices!$C$6</f>
        <v>2.5253284420245865E-3</v>
      </c>
      <c r="E16" s="7">
        <v>2178.5825</v>
      </c>
      <c r="F16" s="7">
        <v>284.97142857142859</v>
      </c>
      <c r="G16" s="7">
        <v>6.5211743026631552</v>
      </c>
      <c r="H16" s="7">
        <v>2850.5124999999998</v>
      </c>
      <c r="I16" s="7">
        <f>E16+H16</f>
        <v>5029.0949999999993</v>
      </c>
      <c r="J16" s="7">
        <f>H16+L16</f>
        <v>2872.0743840491732</v>
      </c>
      <c r="K16" s="7">
        <f>E16+J16</f>
        <v>5050.6568840491727</v>
      </c>
      <c r="L16" s="7">
        <v>21.56188404917344</v>
      </c>
      <c r="M16" s="7">
        <v>5029.0950000000003</v>
      </c>
      <c r="N16" s="7">
        <f>ROUND(I16-M16,9)</f>
        <v>0</v>
      </c>
      <c r="O16" s="8" t="s">
        <v>29</v>
      </c>
    </row>
    <row r="17" spans="1:15" ht="58" customHeight="1">
      <c r="A17" s="1" t="s">
        <v>39</v>
      </c>
      <c r="B17" s="6" t="s">
        <v>33</v>
      </c>
      <c r="C17" s="6" t="s">
        <v>33</v>
      </c>
      <c r="D17" s="6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7" t="s">
        <v>33</v>
      </c>
      <c r="M17" s="7" t="s">
        <v>33</v>
      </c>
      <c r="N17" s="7" t="s">
        <v>33</v>
      </c>
      <c r="O17" s="9" t="s">
        <v>34</v>
      </c>
    </row>
    <row r="18" spans="1:15" ht="29" customHeight="1">
      <c r="A18" s="1" t="s">
        <v>40</v>
      </c>
      <c r="B18" s="6">
        <f>C18*100</f>
        <v>0.115887899543379</v>
      </c>
      <c r="C18" s="6">
        <f>I18/1000000*Model_Prices!$C$6</f>
        <v>1.15887899543379E-3</v>
      </c>
      <c r="D18" s="6">
        <f>K18/1000000*Model_Prices!$C$6</f>
        <v>1.1664988019254657E-3</v>
      </c>
      <c r="E18" s="7">
        <v>1360.3515981735161</v>
      </c>
      <c r="F18" s="7">
        <v>95.808712121212125</v>
      </c>
      <c r="G18" s="7">
        <v>4.9012366876780149</v>
      </c>
      <c r="H18" s="7">
        <v>957.40639269406392</v>
      </c>
      <c r="I18" s="7">
        <f>E18+H18</f>
        <v>2317.7579908675798</v>
      </c>
      <c r="J18" s="7">
        <f>H18+L18</f>
        <v>972.64600567741491</v>
      </c>
      <c r="K18" s="7">
        <f>E18+J18</f>
        <v>2332.9976038509312</v>
      </c>
      <c r="L18" s="7">
        <v>15.239612983351019</v>
      </c>
      <c r="M18" s="7">
        <v>2317.7579908675798</v>
      </c>
      <c r="N18" s="7">
        <f>ROUND(I18-M18,9)</f>
        <v>0</v>
      </c>
      <c r="O18" s="8" t="s">
        <v>29</v>
      </c>
    </row>
    <row r="19" spans="1:15" ht="29" customHeight="1">
      <c r="A19" s="1" t="s">
        <v>41</v>
      </c>
      <c r="B19" s="6">
        <f>C19*100</f>
        <v>7.1490935460478605E-2</v>
      </c>
      <c r="C19" s="6">
        <f>I19/1000000*Model_Prices!$C$6</f>
        <v>7.1490935460478608E-4</v>
      </c>
      <c r="D19" s="6">
        <f>K19/1000000*Model_Prices!$C$6</f>
        <v>7.172107982260196E-4</v>
      </c>
      <c r="E19" s="7">
        <v>944.26178390137784</v>
      </c>
      <c r="F19" s="7">
        <v>48.595473833097593</v>
      </c>
      <c r="G19" s="7">
        <v>1.4243316585835759</v>
      </c>
      <c r="H19" s="7">
        <v>485.55692530819442</v>
      </c>
      <c r="I19" s="7">
        <f>E19+H19</f>
        <v>1429.8187092095723</v>
      </c>
      <c r="J19" s="7">
        <f>H19+L19</f>
        <v>490.15981255066134</v>
      </c>
      <c r="K19" s="7">
        <f>E19+J19</f>
        <v>1434.4215964520392</v>
      </c>
      <c r="L19" s="7">
        <v>4.6028872424669416</v>
      </c>
      <c r="M19" s="7">
        <v>1429.818709209572</v>
      </c>
      <c r="N19" s="7">
        <f>ROUND(I19-M19,9)</f>
        <v>0</v>
      </c>
      <c r="O19" s="8" t="s">
        <v>29</v>
      </c>
    </row>
    <row r="20" spans="1:15" ht="29" customHeight="1">
      <c r="A20" s="1" t="s">
        <v>42</v>
      </c>
      <c r="B20" s="6">
        <f>C20*100</f>
        <v>8.6072268907563046E-2</v>
      </c>
      <c r="C20" s="6">
        <f>I20/1000000*Model_Prices!$C$6</f>
        <v>8.6072268907563039E-4</v>
      </c>
      <c r="D20" s="6">
        <f>K20/1000000*Model_Prices!$C$6</f>
        <v>8.9881481344891538E-4</v>
      </c>
      <c r="E20" s="7">
        <v>956.93277310924373</v>
      </c>
      <c r="F20" s="7">
        <v>76.921727395411608</v>
      </c>
      <c r="G20" s="7">
        <v>9.1109120401686159</v>
      </c>
      <c r="H20" s="7">
        <v>764.51260504201684</v>
      </c>
      <c r="I20" s="7">
        <f>E20+H20</f>
        <v>1721.4453781512607</v>
      </c>
      <c r="J20" s="7">
        <f>H20+L20</f>
        <v>840.69685378858719</v>
      </c>
      <c r="K20" s="7">
        <f>E20+J20</f>
        <v>1797.6296268978308</v>
      </c>
      <c r="L20" s="7">
        <v>76.184248746570333</v>
      </c>
      <c r="M20" s="7">
        <v>1721.44537815126</v>
      </c>
      <c r="N20" s="7">
        <f>ROUND(I20-M20,9)</f>
        <v>0</v>
      </c>
      <c r="O20" s="8" t="s">
        <v>29</v>
      </c>
    </row>
    <row r="21" spans="1:15" ht="58" customHeight="1">
      <c r="A21" s="1" t="s">
        <v>43</v>
      </c>
      <c r="B21" s="6" t="s">
        <v>33</v>
      </c>
      <c r="C21" s="6" t="s">
        <v>33</v>
      </c>
      <c r="D21" s="6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9" t="s">
        <v>34</v>
      </c>
    </row>
    <row r="22" spans="1:15" ht="58" customHeight="1">
      <c r="A22" s="1" t="s">
        <v>44</v>
      </c>
      <c r="B22" s="6" t="s">
        <v>33</v>
      </c>
      <c r="C22" s="6" t="s">
        <v>33</v>
      </c>
      <c r="D22" s="6" t="s">
        <v>33</v>
      </c>
      <c r="E22" s="7" t="s">
        <v>33</v>
      </c>
      <c r="F22" s="7" t="s">
        <v>33</v>
      </c>
      <c r="G22" s="7" t="s">
        <v>33</v>
      </c>
      <c r="H22" s="7" t="s">
        <v>33</v>
      </c>
      <c r="I22" s="7" t="s">
        <v>33</v>
      </c>
      <c r="J22" s="7" t="s">
        <v>33</v>
      </c>
      <c r="K22" s="7" t="s">
        <v>33</v>
      </c>
      <c r="L22" s="7" t="s">
        <v>33</v>
      </c>
      <c r="M22" s="7" t="s">
        <v>33</v>
      </c>
      <c r="N22" s="7" t="s">
        <v>33</v>
      </c>
      <c r="O22" s="9" t="s">
        <v>34</v>
      </c>
    </row>
    <row r="23" spans="1:15" ht="58" customHeight="1">
      <c r="A23" s="1" t="s">
        <v>45</v>
      </c>
      <c r="B23" s="6" t="s">
        <v>33</v>
      </c>
      <c r="C23" s="6" t="s">
        <v>33</v>
      </c>
      <c r="D23" s="6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9" t="s">
        <v>34</v>
      </c>
    </row>
    <row r="24" spans="1:15" ht="58" customHeight="1">
      <c r="A24" s="1" t="s">
        <v>46</v>
      </c>
      <c r="B24" s="6" t="s">
        <v>33</v>
      </c>
      <c r="C24" s="6" t="s">
        <v>33</v>
      </c>
      <c r="D24" s="6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  <c r="N24" s="7" t="s">
        <v>33</v>
      </c>
      <c r="O24" s="9" t="s">
        <v>34</v>
      </c>
    </row>
    <row r="25" spans="1:15" ht="58" customHeight="1">
      <c r="A25" s="1" t="s">
        <v>47</v>
      </c>
      <c r="B25" s="6" t="s">
        <v>33</v>
      </c>
      <c r="C25" s="6" t="s">
        <v>33</v>
      </c>
      <c r="D25" s="6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7" t="s">
        <v>33</v>
      </c>
      <c r="M25" s="7" t="s">
        <v>33</v>
      </c>
      <c r="N25" s="7" t="s">
        <v>33</v>
      </c>
      <c r="O25" s="9" t="s">
        <v>34</v>
      </c>
    </row>
    <row r="26" spans="1:15" ht="29" customHeight="1">
      <c r="A26" s="1" t="s">
        <v>48</v>
      </c>
      <c r="B26" s="6">
        <f>C26*100</f>
        <v>0.31104999999999999</v>
      </c>
      <c r="C26" s="6">
        <f>I26/1000000*Model_Prices!$C$6</f>
        <v>3.1105E-3</v>
      </c>
      <c r="D26" s="6">
        <f>K26/1000000*Model_Prices!$C$6</f>
        <v>3.1105E-3</v>
      </c>
      <c r="E26" s="7">
        <v>1131</v>
      </c>
      <c r="F26" s="7">
        <v>509</v>
      </c>
      <c r="G26" s="7">
        <v>0</v>
      </c>
      <c r="H26" s="7">
        <v>5090</v>
      </c>
      <c r="I26" s="7">
        <f>E26+H26</f>
        <v>6221</v>
      </c>
      <c r="J26" s="7">
        <f>H26+L26</f>
        <v>5090</v>
      </c>
      <c r="K26" s="7">
        <f>E26+J26</f>
        <v>6221</v>
      </c>
      <c r="L26" s="7">
        <v>0</v>
      </c>
      <c r="M26" s="7">
        <v>6221</v>
      </c>
      <c r="N26" s="7">
        <f>ROUND(I26-M26,9)</f>
        <v>0</v>
      </c>
      <c r="O26" s="8" t="s">
        <v>29</v>
      </c>
    </row>
    <row r="27" spans="1:15" ht="58" customHeight="1">
      <c r="A27" s="1" t="s">
        <v>49</v>
      </c>
      <c r="B27" s="6" t="s">
        <v>33</v>
      </c>
      <c r="C27" s="6" t="s">
        <v>33</v>
      </c>
      <c r="D27" s="6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33</v>
      </c>
      <c r="L27" s="7" t="s">
        <v>33</v>
      </c>
      <c r="M27" s="7" t="s">
        <v>33</v>
      </c>
      <c r="N27" s="7" t="s">
        <v>33</v>
      </c>
      <c r="O27" s="9" t="s">
        <v>34</v>
      </c>
    </row>
    <row r="28" spans="1:15" ht="58" customHeight="1">
      <c r="A28" s="1" t="s">
        <v>50</v>
      </c>
      <c r="B28" s="6" t="s">
        <v>33</v>
      </c>
      <c r="C28" s="6" t="s">
        <v>33</v>
      </c>
      <c r="D28" s="6" t="s">
        <v>33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7" t="s">
        <v>33</v>
      </c>
      <c r="M28" s="7" t="s">
        <v>33</v>
      </c>
      <c r="N28" s="7" t="s">
        <v>33</v>
      </c>
      <c r="O28" s="9" t="s">
        <v>34</v>
      </c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6" customHeight="1">
      <c r="A32" s="4" t="s">
        <v>13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4" t="s">
        <v>57</v>
      </c>
      <c r="I32" s="4" t="s">
        <v>58</v>
      </c>
      <c r="J32" s="4" t="s">
        <v>59</v>
      </c>
      <c r="K32" s="1"/>
      <c r="L32" s="1"/>
      <c r="M32" s="1"/>
      <c r="N32" s="1"/>
      <c r="O32" s="1"/>
    </row>
    <row r="33" spans="1:15">
      <c r="A33" s="1" t="s">
        <v>28</v>
      </c>
      <c r="B33" s="1">
        <v>1</v>
      </c>
      <c r="C33" s="1">
        <v>0</v>
      </c>
      <c r="D33" s="1">
        <v>394</v>
      </c>
      <c r="E33" s="1">
        <v>394</v>
      </c>
      <c r="F33" s="1">
        <v>5</v>
      </c>
      <c r="G33" s="1">
        <v>5</v>
      </c>
      <c r="H33" s="1">
        <v>5</v>
      </c>
      <c r="I33" s="1">
        <v>0</v>
      </c>
      <c r="J33" s="1">
        <v>1.717117156553631</v>
      </c>
      <c r="K33" s="1"/>
      <c r="L33" s="1"/>
      <c r="M33" s="1"/>
      <c r="N33" s="1"/>
      <c r="O33" s="1"/>
    </row>
    <row r="34" spans="1:15">
      <c r="A34" s="1" t="s">
        <v>28</v>
      </c>
      <c r="B34" s="1">
        <v>10</v>
      </c>
      <c r="C34" s="1">
        <v>9</v>
      </c>
      <c r="D34" s="1">
        <v>349</v>
      </c>
      <c r="E34" s="1">
        <v>349</v>
      </c>
      <c r="F34" s="1">
        <v>5</v>
      </c>
      <c r="G34" s="1">
        <v>5</v>
      </c>
      <c r="H34" s="1">
        <v>5</v>
      </c>
      <c r="I34" s="1">
        <v>0</v>
      </c>
      <c r="J34" s="1">
        <v>1.8034831001931579</v>
      </c>
      <c r="K34" s="1"/>
      <c r="L34" s="1"/>
      <c r="M34" s="1"/>
      <c r="N34" s="1"/>
      <c r="O34" s="1"/>
    </row>
    <row r="35" spans="1:15">
      <c r="A35" s="1" t="s">
        <v>30</v>
      </c>
      <c r="B35" s="1">
        <v>1</v>
      </c>
      <c r="C35" s="1">
        <v>0</v>
      </c>
      <c r="D35" s="1">
        <v>1031</v>
      </c>
      <c r="E35" s="1">
        <v>1031</v>
      </c>
      <c r="F35" s="1">
        <v>10</v>
      </c>
      <c r="G35" s="1">
        <v>10</v>
      </c>
      <c r="H35" s="1">
        <v>10</v>
      </c>
      <c r="I35" s="1">
        <v>0</v>
      </c>
      <c r="J35" s="1">
        <v>1.0750751251067061</v>
      </c>
      <c r="K35" s="1"/>
      <c r="L35" s="1"/>
      <c r="M35" s="1"/>
      <c r="N35" s="1"/>
      <c r="O35" s="1"/>
    </row>
    <row r="36" spans="1:15">
      <c r="A36" s="1" t="s">
        <v>30</v>
      </c>
      <c r="B36" s="1">
        <v>10</v>
      </c>
      <c r="C36" s="1">
        <v>9</v>
      </c>
      <c r="D36" s="1">
        <v>941</v>
      </c>
      <c r="E36" s="1">
        <v>941</v>
      </c>
      <c r="F36" s="1">
        <v>10</v>
      </c>
      <c r="G36" s="1">
        <v>10</v>
      </c>
      <c r="H36" s="1">
        <v>10</v>
      </c>
      <c r="I36" s="1">
        <v>0</v>
      </c>
      <c r="J36" s="1">
        <v>1.100493709153624</v>
      </c>
      <c r="K36" s="1"/>
      <c r="L36" s="1"/>
      <c r="M36" s="1"/>
      <c r="N36" s="1"/>
      <c r="O36" s="1"/>
    </row>
    <row r="37" spans="1:15">
      <c r="A37" s="1" t="s">
        <v>31</v>
      </c>
      <c r="B37" s="1">
        <v>1</v>
      </c>
      <c r="C37" s="1">
        <v>0</v>
      </c>
      <c r="D37" s="1">
        <v>1990</v>
      </c>
      <c r="E37" s="1">
        <v>1990</v>
      </c>
      <c r="F37" s="1">
        <v>10</v>
      </c>
      <c r="G37" s="1">
        <v>10</v>
      </c>
      <c r="H37" s="1">
        <v>10</v>
      </c>
      <c r="I37" s="1">
        <v>0</v>
      </c>
      <c r="J37" s="1">
        <v>1.0790623925796039</v>
      </c>
      <c r="K37" s="1"/>
      <c r="L37" s="1"/>
      <c r="M37" s="1"/>
      <c r="N37" s="1"/>
      <c r="O37" s="1"/>
    </row>
    <row r="38" spans="1:15">
      <c r="A38" s="1" t="s">
        <v>31</v>
      </c>
      <c r="B38" s="1">
        <v>10</v>
      </c>
      <c r="C38" s="1">
        <v>9</v>
      </c>
      <c r="D38" s="1">
        <v>1900</v>
      </c>
      <c r="E38" s="1">
        <v>1900</v>
      </c>
      <c r="F38" s="1">
        <v>10</v>
      </c>
      <c r="G38" s="1">
        <v>10</v>
      </c>
      <c r="H38" s="1">
        <v>10</v>
      </c>
      <c r="I38" s="1">
        <v>0</v>
      </c>
      <c r="J38" s="1">
        <v>1.084194557879341</v>
      </c>
      <c r="K38" s="1"/>
      <c r="L38" s="1"/>
      <c r="M38" s="1"/>
      <c r="N38" s="1"/>
      <c r="O38" s="1"/>
    </row>
    <row r="39" spans="1:15">
      <c r="A39" s="1" t="s">
        <v>32</v>
      </c>
      <c r="B39" s="1">
        <v>1</v>
      </c>
      <c r="C39" s="1">
        <v>0</v>
      </c>
      <c r="D39" s="1" t="s">
        <v>33</v>
      </c>
      <c r="E39" s="1" t="s">
        <v>33</v>
      </c>
      <c r="F39" s="1" t="s">
        <v>33</v>
      </c>
      <c r="G39" s="1" t="s">
        <v>33</v>
      </c>
      <c r="H39" s="1">
        <v>2</v>
      </c>
      <c r="I39" s="1">
        <v>0</v>
      </c>
      <c r="J39" s="1" t="s">
        <v>33</v>
      </c>
      <c r="K39" s="1"/>
      <c r="L39" s="1"/>
      <c r="M39" s="1"/>
      <c r="N39" s="1"/>
      <c r="O39" s="1"/>
    </row>
    <row r="40" spans="1:15">
      <c r="A40" s="1" t="s">
        <v>32</v>
      </c>
      <c r="B40" s="1">
        <v>10</v>
      </c>
      <c r="C40" s="1">
        <v>9</v>
      </c>
      <c r="D40" s="1" t="s">
        <v>33</v>
      </c>
      <c r="E40" s="1" t="s">
        <v>33</v>
      </c>
      <c r="F40" s="1" t="s">
        <v>33</v>
      </c>
      <c r="G40" s="1" t="s">
        <v>33</v>
      </c>
      <c r="H40" s="1">
        <v>2</v>
      </c>
      <c r="I40" s="1">
        <v>0</v>
      </c>
      <c r="J40" s="1" t="s">
        <v>33</v>
      </c>
      <c r="K40" s="1"/>
      <c r="L40" s="1"/>
      <c r="M40" s="1"/>
      <c r="N40" s="1"/>
      <c r="O40" s="1"/>
    </row>
    <row r="41" spans="1:15">
      <c r="A41" s="1" t="s">
        <v>35</v>
      </c>
      <c r="B41" s="1">
        <v>1</v>
      </c>
      <c r="C41" s="1">
        <v>0</v>
      </c>
      <c r="D41" s="1">
        <v>2495</v>
      </c>
      <c r="E41" s="1">
        <v>2495</v>
      </c>
      <c r="F41" s="1">
        <v>5</v>
      </c>
      <c r="G41" s="1">
        <v>5</v>
      </c>
      <c r="H41" s="1">
        <v>5</v>
      </c>
      <c r="I41" s="1">
        <v>0</v>
      </c>
      <c r="J41" s="1">
        <v>1.395348401172257</v>
      </c>
      <c r="K41" s="1"/>
      <c r="L41" s="1"/>
      <c r="M41" s="1"/>
      <c r="N41" s="1"/>
      <c r="O41" s="1"/>
    </row>
    <row r="42" spans="1:15">
      <c r="A42" s="1" t="s">
        <v>35</v>
      </c>
      <c r="B42" s="1">
        <v>10</v>
      </c>
      <c r="C42" s="1">
        <v>9</v>
      </c>
      <c r="D42" s="1">
        <v>2450</v>
      </c>
      <c r="E42" s="1">
        <v>2450</v>
      </c>
      <c r="F42" s="1">
        <v>5</v>
      </c>
      <c r="G42" s="1">
        <v>5</v>
      </c>
      <c r="H42" s="1">
        <v>5</v>
      </c>
      <c r="I42" s="1">
        <v>0</v>
      </c>
      <c r="J42" s="1">
        <v>1.3814041953825129</v>
      </c>
      <c r="K42" s="1"/>
      <c r="L42" s="1"/>
      <c r="M42" s="1"/>
      <c r="N42" s="1"/>
      <c r="O42" s="1"/>
    </row>
    <row r="43" spans="1:15">
      <c r="A43" s="1" t="s">
        <v>36</v>
      </c>
      <c r="B43" s="1">
        <v>1</v>
      </c>
      <c r="C43" s="1">
        <v>0</v>
      </c>
      <c r="D43" s="1">
        <v>490</v>
      </c>
      <c r="E43" s="1">
        <v>490</v>
      </c>
      <c r="F43" s="1">
        <v>10</v>
      </c>
      <c r="G43" s="1">
        <v>10</v>
      </c>
      <c r="H43" s="1">
        <v>10</v>
      </c>
      <c r="I43" s="1">
        <v>0</v>
      </c>
      <c r="J43" s="1">
        <v>7.2467261274900654</v>
      </c>
      <c r="K43" s="1"/>
      <c r="L43" s="1"/>
      <c r="M43" s="1"/>
      <c r="N43" s="1"/>
      <c r="O43" s="1"/>
    </row>
    <row r="44" spans="1:15">
      <c r="A44" s="1" t="s">
        <v>36</v>
      </c>
      <c r="B44" s="1">
        <v>10</v>
      </c>
      <c r="C44" s="1">
        <v>9</v>
      </c>
      <c r="D44" s="1">
        <v>400</v>
      </c>
      <c r="E44" s="1">
        <v>400</v>
      </c>
      <c r="F44" s="1">
        <v>10</v>
      </c>
      <c r="G44" s="1">
        <v>10</v>
      </c>
      <c r="H44" s="1">
        <v>10</v>
      </c>
      <c r="I44" s="1">
        <v>0</v>
      </c>
      <c r="J44" s="1">
        <v>1.9407215153133131</v>
      </c>
      <c r="K44" s="1"/>
      <c r="L44" s="1"/>
      <c r="M44" s="1"/>
      <c r="N44" s="1"/>
      <c r="O44" s="1"/>
    </row>
    <row r="45" spans="1:15">
      <c r="A45" s="1" t="s">
        <v>37</v>
      </c>
      <c r="B45" s="1">
        <v>1</v>
      </c>
      <c r="C45" s="1">
        <v>0</v>
      </c>
      <c r="D45" s="1">
        <v>490</v>
      </c>
      <c r="E45" s="1">
        <v>490</v>
      </c>
      <c r="F45" s="1">
        <v>10</v>
      </c>
      <c r="G45" s="1">
        <v>10</v>
      </c>
      <c r="H45" s="1">
        <v>10</v>
      </c>
      <c r="I45" s="1">
        <v>0</v>
      </c>
      <c r="J45" s="1">
        <v>3.9827412969252811</v>
      </c>
      <c r="K45" s="1"/>
      <c r="L45" s="1"/>
      <c r="M45" s="1"/>
      <c r="N45" s="1"/>
      <c r="O45" s="1"/>
    </row>
    <row r="46" spans="1:15">
      <c r="A46" s="1" t="s">
        <v>37</v>
      </c>
      <c r="B46" s="1">
        <v>10</v>
      </c>
      <c r="C46" s="1">
        <v>9</v>
      </c>
      <c r="D46" s="1">
        <v>400</v>
      </c>
      <c r="E46" s="1">
        <v>400</v>
      </c>
      <c r="F46" s="1">
        <v>10</v>
      </c>
      <c r="G46" s="1">
        <v>10</v>
      </c>
      <c r="H46" s="1">
        <v>10</v>
      </c>
      <c r="I46" s="1">
        <v>0</v>
      </c>
      <c r="J46" s="1">
        <v>4.3290811669452447</v>
      </c>
      <c r="K46" s="1"/>
      <c r="L46" s="1"/>
      <c r="M46" s="1"/>
      <c r="N46" s="1"/>
      <c r="O46" s="1"/>
    </row>
    <row r="47" spans="1:15">
      <c r="A47" s="1" t="s">
        <v>38</v>
      </c>
      <c r="B47" s="1">
        <v>1</v>
      </c>
      <c r="C47" s="1">
        <v>0</v>
      </c>
      <c r="D47" s="1">
        <v>490</v>
      </c>
      <c r="E47" s="1">
        <v>490</v>
      </c>
      <c r="F47" s="1">
        <v>10</v>
      </c>
      <c r="G47" s="1">
        <v>10</v>
      </c>
      <c r="H47" s="1">
        <v>10</v>
      </c>
      <c r="I47" s="1">
        <v>0</v>
      </c>
      <c r="J47" s="1">
        <v>6.3690869548207196</v>
      </c>
      <c r="K47" s="1"/>
      <c r="L47" s="1"/>
      <c r="M47" s="1"/>
      <c r="N47" s="1"/>
      <c r="O47" s="1"/>
    </row>
    <row r="48" spans="1:15">
      <c r="A48" s="1" t="s">
        <v>38</v>
      </c>
      <c r="B48" s="1">
        <v>10</v>
      </c>
      <c r="C48" s="1">
        <v>9</v>
      </c>
      <c r="D48" s="1">
        <v>400</v>
      </c>
      <c r="E48" s="1">
        <v>400</v>
      </c>
      <c r="F48" s="1">
        <v>10</v>
      </c>
      <c r="G48" s="1">
        <v>10</v>
      </c>
      <c r="H48" s="1">
        <v>10</v>
      </c>
      <c r="I48" s="1">
        <v>0</v>
      </c>
      <c r="J48" s="1">
        <v>1.4415941696607959</v>
      </c>
      <c r="K48" s="1"/>
      <c r="L48" s="1"/>
      <c r="M48" s="1"/>
      <c r="N48" s="1"/>
      <c r="O48" s="1"/>
    </row>
    <row r="49" spans="1:15">
      <c r="A49" s="1" t="s">
        <v>39</v>
      </c>
      <c r="B49" s="1">
        <v>1</v>
      </c>
      <c r="C49" s="1">
        <v>0</v>
      </c>
      <c r="D49" s="1" t="s">
        <v>33</v>
      </c>
      <c r="E49" s="1" t="s">
        <v>33</v>
      </c>
      <c r="F49" s="1" t="s">
        <v>33</v>
      </c>
      <c r="G49" s="1" t="s">
        <v>33</v>
      </c>
      <c r="H49" s="1">
        <v>3</v>
      </c>
      <c r="I49" s="1">
        <v>0</v>
      </c>
      <c r="J49" s="1" t="s">
        <v>33</v>
      </c>
      <c r="K49" s="1"/>
      <c r="L49" s="1"/>
      <c r="M49" s="1"/>
      <c r="N49" s="1"/>
      <c r="O49" s="1"/>
    </row>
    <row r="50" spans="1:15">
      <c r="A50" s="1" t="s">
        <v>39</v>
      </c>
      <c r="B50" s="1">
        <v>10</v>
      </c>
      <c r="C50" s="1">
        <v>9</v>
      </c>
      <c r="D50" s="1" t="s">
        <v>33</v>
      </c>
      <c r="E50" s="1" t="s">
        <v>33</v>
      </c>
      <c r="F50" s="1" t="s">
        <v>33</v>
      </c>
      <c r="G50" s="1" t="s">
        <v>33</v>
      </c>
      <c r="H50" s="1">
        <v>3</v>
      </c>
      <c r="I50" s="1">
        <v>0</v>
      </c>
      <c r="J50" s="1" t="s">
        <v>33</v>
      </c>
      <c r="K50" s="1"/>
      <c r="L50" s="1"/>
      <c r="M50" s="1"/>
      <c r="N50" s="1"/>
      <c r="O50" s="1"/>
    </row>
    <row r="51" spans="1:15">
      <c r="A51" s="1" t="s">
        <v>40</v>
      </c>
      <c r="B51" s="1">
        <v>1</v>
      </c>
      <c r="C51" s="1">
        <v>0</v>
      </c>
      <c r="D51" s="1">
        <v>528</v>
      </c>
      <c r="E51" s="1">
        <v>528</v>
      </c>
      <c r="F51" s="1">
        <v>10</v>
      </c>
      <c r="G51" s="1">
        <v>10</v>
      </c>
      <c r="H51" s="1">
        <v>10</v>
      </c>
      <c r="I51" s="1">
        <v>0</v>
      </c>
      <c r="J51" s="1">
        <v>4.1107573879761787</v>
      </c>
      <c r="K51" s="1"/>
      <c r="L51" s="1"/>
      <c r="M51" s="1"/>
      <c r="N51" s="1"/>
      <c r="O51" s="1"/>
    </row>
    <row r="52" spans="1:15">
      <c r="A52" s="1" t="s">
        <v>40</v>
      </c>
      <c r="B52" s="1">
        <v>10</v>
      </c>
      <c r="C52" s="1">
        <v>9</v>
      </c>
      <c r="D52" s="1">
        <v>438</v>
      </c>
      <c r="E52" s="1">
        <v>438</v>
      </c>
      <c r="F52" s="1">
        <v>10</v>
      </c>
      <c r="G52" s="1">
        <v>10</v>
      </c>
      <c r="H52" s="1">
        <v>10</v>
      </c>
      <c r="I52" s="1">
        <v>0</v>
      </c>
      <c r="J52" s="1">
        <v>4.1473581515975004</v>
      </c>
      <c r="K52" s="1"/>
      <c r="L52" s="1"/>
      <c r="M52" s="1"/>
      <c r="N52" s="1"/>
      <c r="O52" s="1"/>
    </row>
    <row r="53" spans="1:15">
      <c r="A53" s="1" t="s">
        <v>41</v>
      </c>
      <c r="B53" s="1">
        <v>1</v>
      </c>
      <c r="C53" s="1">
        <v>0</v>
      </c>
      <c r="D53" s="1">
        <v>1414</v>
      </c>
      <c r="E53" s="1">
        <v>1414</v>
      </c>
      <c r="F53" s="1">
        <v>5</v>
      </c>
      <c r="G53" s="1">
        <v>5</v>
      </c>
      <c r="H53" s="1">
        <v>5</v>
      </c>
      <c r="I53" s="1">
        <v>0</v>
      </c>
      <c r="J53" s="1">
        <v>1.0522247228676771</v>
      </c>
      <c r="K53" s="1"/>
      <c r="L53" s="1"/>
      <c r="M53" s="1"/>
      <c r="N53" s="1"/>
      <c r="O53" s="1"/>
    </row>
    <row r="54" spans="1:15">
      <c r="A54" s="1" t="s">
        <v>41</v>
      </c>
      <c r="B54" s="1">
        <v>10</v>
      </c>
      <c r="C54" s="1">
        <v>9</v>
      </c>
      <c r="D54" s="1">
        <v>1379</v>
      </c>
      <c r="E54" s="1">
        <v>1379</v>
      </c>
      <c r="F54" s="1">
        <v>3</v>
      </c>
      <c r="G54" s="1">
        <v>3</v>
      </c>
      <c r="H54" s="1">
        <v>5</v>
      </c>
      <c r="I54" s="1">
        <v>0</v>
      </c>
      <c r="J54" s="1">
        <v>1.054186725909521</v>
      </c>
      <c r="K54" s="1"/>
      <c r="L54" s="1"/>
      <c r="M54" s="1"/>
      <c r="N54" s="1"/>
      <c r="O54" s="1"/>
    </row>
    <row r="55" spans="1:15">
      <c r="A55" s="1" t="s">
        <v>42</v>
      </c>
      <c r="B55" s="1">
        <v>1</v>
      </c>
      <c r="C55" s="1">
        <v>0</v>
      </c>
      <c r="D55" s="1">
        <v>741</v>
      </c>
      <c r="E55" s="1">
        <v>741</v>
      </c>
      <c r="F55" s="1">
        <v>3</v>
      </c>
      <c r="G55" s="1">
        <v>3</v>
      </c>
      <c r="H55" s="1">
        <v>3</v>
      </c>
      <c r="I55" s="1">
        <v>0</v>
      </c>
      <c r="J55" s="1">
        <v>8.7571872376841799</v>
      </c>
      <c r="K55" s="1"/>
      <c r="L55" s="1"/>
      <c r="M55" s="1"/>
      <c r="N55" s="1"/>
      <c r="O55" s="1"/>
    </row>
    <row r="56" spans="1:15">
      <c r="A56" s="1" t="s">
        <v>42</v>
      </c>
      <c r="B56" s="1">
        <v>10</v>
      </c>
      <c r="C56" s="1">
        <v>9</v>
      </c>
      <c r="D56" s="1">
        <v>714</v>
      </c>
      <c r="E56" s="1">
        <v>714</v>
      </c>
      <c r="F56" s="1">
        <v>3</v>
      </c>
      <c r="G56" s="1">
        <v>3</v>
      </c>
      <c r="H56" s="1">
        <v>3</v>
      </c>
      <c r="I56" s="1">
        <v>0</v>
      </c>
      <c r="J56" s="1">
        <v>8.690505871919374</v>
      </c>
      <c r="K56" s="1"/>
      <c r="L56" s="1"/>
      <c r="M56" s="1"/>
      <c r="N56" s="1"/>
      <c r="O56" s="1"/>
    </row>
    <row r="57" spans="1:15">
      <c r="A57" s="1" t="s">
        <v>43</v>
      </c>
      <c r="B57" s="1">
        <v>1</v>
      </c>
      <c r="C57" s="1">
        <v>0</v>
      </c>
      <c r="D57" s="1" t="s">
        <v>33</v>
      </c>
      <c r="E57" s="1" t="s">
        <v>33</v>
      </c>
      <c r="F57" s="1" t="s">
        <v>33</v>
      </c>
      <c r="G57" s="1" t="s">
        <v>33</v>
      </c>
      <c r="H57" s="1">
        <v>24</v>
      </c>
      <c r="I57" s="1">
        <v>0</v>
      </c>
      <c r="J57" s="1" t="s">
        <v>33</v>
      </c>
      <c r="K57" s="1"/>
      <c r="L57" s="1"/>
      <c r="M57" s="1"/>
      <c r="N57" s="1"/>
      <c r="O57" s="1"/>
    </row>
    <row r="58" spans="1:15">
      <c r="A58" s="1" t="s">
        <v>43</v>
      </c>
      <c r="B58" s="1">
        <v>10</v>
      </c>
      <c r="C58" s="1">
        <v>9</v>
      </c>
      <c r="D58" s="1" t="s">
        <v>33</v>
      </c>
      <c r="E58" s="1" t="s">
        <v>33</v>
      </c>
      <c r="F58" s="1" t="s">
        <v>33</v>
      </c>
      <c r="G58" s="1" t="s">
        <v>33</v>
      </c>
      <c r="H58" s="1">
        <v>24</v>
      </c>
      <c r="I58" s="1">
        <v>0</v>
      </c>
      <c r="J58" s="1" t="s">
        <v>33</v>
      </c>
      <c r="K58" s="1"/>
      <c r="L58" s="1"/>
      <c r="M58" s="1"/>
      <c r="N58" s="1"/>
      <c r="O58" s="1"/>
    </row>
    <row r="59" spans="1:15">
      <c r="A59" s="1" t="s">
        <v>44</v>
      </c>
      <c r="B59" s="1">
        <v>1</v>
      </c>
      <c r="C59" s="1">
        <v>0</v>
      </c>
      <c r="D59" s="1" t="s">
        <v>33</v>
      </c>
      <c r="E59" s="1" t="s">
        <v>33</v>
      </c>
      <c r="F59" s="1" t="s">
        <v>33</v>
      </c>
      <c r="G59" s="1" t="s">
        <v>33</v>
      </c>
      <c r="H59" s="1">
        <v>11</v>
      </c>
      <c r="I59" s="1">
        <v>0</v>
      </c>
      <c r="J59" s="1" t="s">
        <v>33</v>
      </c>
      <c r="K59" s="1"/>
      <c r="L59" s="1"/>
      <c r="M59" s="1"/>
      <c r="N59" s="1"/>
      <c r="O59" s="1"/>
    </row>
    <row r="60" spans="1:15">
      <c r="A60" s="1" t="s">
        <v>44</v>
      </c>
      <c r="B60" s="1">
        <v>10</v>
      </c>
      <c r="C60" s="1">
        <v>9</v>
      </c>
      <c r="D60" s="1" t="s">
        <v>33</v>
      </c>
      <c r="E60" s="1" t="s">
        <v>33</v>
      </c>
      <c r="F60" s="1" t="s">
        <v>33</v>
      </c>
      <c r="G60" s="1" t="s">
        <v>33</v>
      </c>
      <c r="H60" s="1">
        <v>11</v>
      </c>
      <c r="I60" s="1">
        <v>0</v>
      </c>
      <c r="J60" s="1" t="s">
        <v>33</v>
      </c>
      <c r="K60" s="1"/>
      <c r="L60" s="1"/>
      <c r="M60" s="1"/>
      <c r="N60" s="1"/>
      <c r="O60" s="1"/>
    </row>
    <row r="61" spans="1:15">
      <c r="A61" s="1" t="s">
        <v>45</v>
      </c>
      <c r="B61" s="1">
        <v>1</v>
      </c>
      <c r="C61" s="1">
        <v>0</v>
      </c>
      <c r="D61" s="1" t="s">
        <v>33</v>
      </c>
      <c r="E61" s="1" t="s">
        <v>33</v>
      </c>
      <c r="F61" s="1" t="s">
        <v>33</v>
      </c>
      <c r="G61" s="1" t="s">
        <v>33</v>
      </c>
      <c r="H61" s="1">
        <v>17</v>
      </c>
      <c r="I61" s="1">
        <v>0</v>
      </c>
      <c r="J61" s="1" t="s">
        <v>33</v>
      </c>
      <c r="K61" s="1"/>
      <c r="L61" s="1"/>
      <c r="M61" s="1"/>
      <c r="N61" s="1"/>
      <c r="O61" s="1"/>
    </row>
    <row r="62" spans="1:15">
      <c r="A62" s="1" t="s">
        <v>45</v>
      </c>
      <c r="B62" s="1">
        <v>10</v>
      </c>
      <c r="C62" s="1">
        <v>9</v>
      </c>
      <c r="D62" s="1" t="s">
        <v>33</v>
      </c>
      <c r="E62" s="1" t="s">
        <v>33</v>
      </c>
      <c r="F62" s="1" t="s">
        <v>33</v>
      </c>
      <c r="G62" s="1" t="s">
        <v>33</v>
      </c>
      <c r="H62" s="1">
        <v>17</v>
      </c>
      <c r="I62" s="1">
        <v>0</v>
      </c>
      <c r="J62" s="1" t="s">
        <v>33</v>
      </c>
      <c r="K62" s="1"/>
      <c r="L62" s="1"/>
      <c r="M62" s="1"/>
      <c r="N62" s="1"/>
      <c r="O62" s="1"/>
    </row>
    <row r="63" spans="1:15">
      <c r="A63" s="1" t="s">
        <v>46</v>
      </c>
      <c r="B63" s="1">
        <v>1</v>
      </c>
      <c r="C63" s="1">
        <v>0</v>
      </c>
      <c r="D63" s="1" t="s">
        <v>33</v>
      </c>
      <c r="E63" s="1" t="s">
        <v>33</v>
      </c>
      <c r="F63" s="1" t="s">
        <v>33</v>
      </c>
      <c r="G63" s="1" t="s">
        <v>33</v>
      </c>
      <c r="H63" s="1">
        <v>5</v>
      </c>
      <c r="I63" s="1">
        <v>0</v>
      </c>
      <c r="J63" s="1" t="s">
        <v>33</v>
      </c>
      <c r="K63" s="1"/>
      <c r="L63" s="1"/>
      <c r="M63" s="1"/>
      <c r="N63" s="1"/>
      <c r="O63" s="1"/>
    </row>
    <row r="64" spans="1:15">
      <c r="A64" s="1" t="s">
        <v>46</v>
      </c>
      <c r="B64" s="1">
        <v>10</v>
      </c>
      <c r="C64" s="1">
        <v>9</v>
      </c>
      <c r="D64" s="1" t="s">
        <v>33</v>
      </c>
      <c r="E64" s="1" t="s">
        <v>33</v>
      </c>
      <c r="F64" s="1" t="s">
        <v>33</v>
      </c>
      <c r="G64" s="1" t="s">
        <v>33</v>
      </c>
      <c r="H64" s="1">
        <v>5</v>
      </c>
      <c r="I64" s="1">
        <v>0</v>
      </c>
      <c r="J64" s="1" t="s">
        <v>33</v>
      </c>
      <c r="K64" s="1"/>
      <c r="L64" s="1"/>
      <c r="M64" s="1"/>
      <c r="N64" s="1"/>
      <c r="O64" s="1"/>
    </row>
    <row r="65" spans="1:15">
      <c r="A65" s="1" t="s">
        <v>47</v>
      </c>
      <c r="B65" s="1">
        <v>1</v>
      </c>
      <c r="C65" s="1">
        <v>0</v>
      </c>
      <c r="D65" s="1" t="s">
        <v>33</v>
      </c>
      <c r="E65" s="1" t="s">
        <v>33</v>
      </c>
      <c r="F65" s="1" t="s">
        <v>33</v>
      </c>
      <c r="G65" s="1" t="s">
        <v>33</v>
      </c>
      <c r="H65" s="1">
        <v>11</v>
      </c>
      <c r="I65" s="1">
        <v>0</v>
      </c>
      <c r="J65" s="1" t="s">
        <v>33</v>
      </c>
      <c r="K65" s="1"/>
      <c r="L65" s="1"/>
      <c r="M65" s="1"/>
      <c r="N65" s="1"/>
      <c r="O65" s="1"/>
    </row>
    <row r="66" spans="1:15">
      <c r="A66" s="1" t="s">
        <v>47</v>
      </c>
      <c r="B66" s="1">
        <v>10</v>
      </c>
      <c r="C66" s="1">
        <v>9</v>
      </c>
      <c r="D66" s="1" t="s">
        <v>33</v>
      </c>
      <c r="E66" s="1" t="s">
        <v>33</v>
      </c>
      <c r="F66" s="1" t="s">
        <v>33</v>
      </c>
      <c r="G66" s="1" t="s">
        <v>33</v>
      </c>
      <c r="H66" s="1">
        <v>11</v>
      </c>
      <c r="I66" s="1">
        <v>0</v>
      </c>
      <c r="J66" s="1" t="s">
        <v>33</v>
      </c>
      <c r="K66" s="1"/>
      <c r="L66" s="1"/>
      <c r="M66" s="1"/>
      <c r="N66" s="1"/>
      <c r="O66" s="1"/>
    </row>
    <row r="67" spans="1:15">
      <c r="A67" s="1" t="s">
        <v>48</v>
      </c>
      <c r="B67" s="1">
        <v>1</v>
      </c>
      <c r="C67" s="1">
        <v>0</v>
      </c>
      <c r="D67" s="1">
        <v>120</v>
      </c>
      <c r="E67" s="1">
        <v>120</v>
      </c>
      <c r="F67" s="1">
        <v>10</v>
      </c>
      <c r="G67" s="1">
        <v>10</v>
      </c>
      <c r="H67" s="1">
        <v>10</v>
      </c>
      <c r="I67" s="1">
        <v>0</v>
      </c>
      <c r="J67" s="1">
        <v>0</v>
      </c>
      <c r="K67" s="1"/>
      <c r="L67" s="1"/>
      <c r="M67" s="1"/>
      <c r="N67" s="1"/>
      <c r="O67" s="1"/>
    </row>
    <row r="68" spans="1:15">
      <c r="A68" s="1" t="s">
        <v>48</v>
      </c>
      <c r="B68" s="1">
        <v>10</v>
      </c>
      <c r="C68" s="1">
        <v>9</v>
      </c>
      <c r="D68" s="1">
        <v>33</v>
      </c>
      <c r="E68" s="1">
        <v>33</v>
      </c>
      <c r="F68" s="1">
        <v>5</v>
      </c>
      <c r="G68" s="1">
        <v>5</v>
      </c>
      <c r="H68" s="1">
        <v>10</v>
      </c>
      <c r="I68" s="1">
        <v>0</v>
      </c>
      <c r="J68" s="1">
        <v>0</v>
      </c>
      <c r="K68" s="1"/>
      <c r="L68" s="1"/>
      <c r="M68" s="1"/>
      <c r="N68" s="1"/>
      <c r="O68" s="1"/>
    </row>
    <row r="69" spans="1:15">
      <c r="A69" s="1" t="s">
        <v>49</v>
      </c>
      <c r="B69" s="1">
        <v>1</v>
      </c>
      <c r="C69" s="1">
        <v>0</v>
      </c>
      <c r="D69" s="1" t="s">
        <v>33</v>
      </c>
      <c r="E69" s="1" t="s">
        <v>33</v>
      </c>
      <c r="F69" s="1" t="s">
        <v>33</v>
      </c>
      <c r="G69" s="1" t="s">
        <v>33</v>
      </c>
      <c r="H69" s="1">
        <v>6</v>
      </c>
      <c r="I69" s="1">
        <v>0</v>
      </c>
      <c r="J69" s="1" t="s">
        <v>33</v>
      </c>
      <c r="K69" s="1"/>
      <c r="L69" s="1"/>
      <c r="M69" s="1"/>
      <c r="N69" s="1"/>
      <c r="O69" s="1"/>
    </row>
    <row r="70" spans="1:15">
      <c r="A70" s="1" t="s">
        <v>49</v>
      </c>
      <c r="B70" s="1">
        <v>10</v>
      </c>
      <c r="C70" s="1">
        <v>9</v>
      </c>
      <c r="D70" s="1" t="s">
        <v>33</v>
      </c>
      <c r="E70" s="1" t="s">
        <v>33</v>
      </c>
      <c r="F70" s="1" t="s">
        <v>33</v>
      </c>
      <c r="G70" s="1" t="s">
        <v>33</v>
      </c>
      <c r="H70" s="1">
        <v>6</v>
      </c>
      <c r="I70" s="1">
        <v>0</v>
      </c>
      <c r="J70" s="1" t="s">
        <v>33</v>
      </c>
      <c r="K70" s="1"/>
      <c r="L70" s="1"/>
      <c r="M70" s="1"/>
      <c r="N70" s="1"/>
      <c r="O70" s="1"/>
    </row>
    <row r="71" spans="1:15">
      <c r="A71" s="1" t="s">
        <v>50</v>
      </c>
      <c r="B71" s="1">
        <v>1</v>
      </c>
      <c r="C71" s="1">
        <v>0</v>
      </c>
      <c r="D71" s="1" t="s">
        <v>33</v>
      </c>
      <c r="E71" s="1" t="s">
        <v>33</v>
      </c>
      <c r="F71" s="1" t="s">
        <v>33</v>
      </c>
      <c r="G71" s="1" t="s">
        <v>33</v>
      </c>
      <c r="H71" s="1">
        <v>5</v>
      </c>
      <c r="I71" s="1">
        <v>0</v>
      </c>
      <c r="J71" s="1" t="s">
        <v>33</v>
      </c>
      <c r="K71" s="1"/>
      <c r="L71" s="1"/>
      <c r="M71" s="1"/>
      <c r="N71" s="1"/>
      <c r="O71" s="1"/>
    </row>
    <row r="72" spans="1:15">
      <c r="A72" s="1" t="s">
        <v>50</v>
      </c>
      <c r="B72" s="1">
        <v>10</v>
      </c>
      <c r="C72" s="1">
        <v>9</v>
      </c>
      <c r="D72" s="1" t="s">
        <v>33</v>
      </c>
      <c r="E72" s="1" t="s">
        <v>33</v>
      </c>
      <c r="F72" s="1" t="s">
        <v>33</v>
      </c>
      <c r="G72" s="1" t="s">
        <v>33</v>
      </c>
      <c r="H72" s="1">
        <v>5</v>
      </c>
      <c r="I72" s="1">
        <v>0</v>
      </c>
      <c r="J72" s="1" t="s">
        <v>33</v>
      </c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60</v>
      </c>
      <c r="B74" s="1" t="s">
        <v>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62</v>
      </c>
      <c r="B75" s="1" t="s">
        <v>63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64</v>
      </c>
      <c r="B76" s="1" t="s">
        <v>65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66</v>
      </c>
      <c r="B77" s="1" t="s">
        <v>67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14</v>
      </c>
      <c r="B78" s="1" t="s">
        <v>68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69</v>
      </c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71</v>
      </c>
      <c r="B80" s="1" t="s">
        <v>72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73</v>
      </c>
      <c r="B81" s="1" t="s">
        <v>74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75</v>
      </c>
      <c r="B82" s="1" t="s">
        <v>76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77</v>
      </c>
      <c r="B83" s="1" t="s">
        <v>78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79</v>
      </c>
      <c r="B84" s="1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81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83</v>
      </c>
      <c r="B86" s="1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85</v>
      </c>
      <c r="B87" s="1" t="s">
        <v>86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87</v>
      </c>
      <c r="B88" s="1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89</v>
      </c>
      <c r="B89" s="1" t="s">
        <v>90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91</v>
      </c>
      <c r="B90" s="1" t="s">
        <v>92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</sheetData>
  <autoFilter ref="A8:O28" xr:uid="{00000000-0009-0000-0000-000000000000}"/>
  <phoneticPr fontId="4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90"/>
  <sheetViews>
    <sheetView showGridLines="0" tabSelected="1" zoomScale="85" workbookViewId="0">
      <pane xSplit="4" ySplit="8" topLeftCell="E9" activePane="bottomRight" state="frozen"/>
      <selection pane="topRight"/>
      <selection pane="bottomLeft"/>
      <selection pane="bottomRight" activeCell="D11" sqref="D11"/>
    </sheetView>
  </sheetViews>
  <sheetFormatPr baseColWidth="10" defaultColWidth="8.83203125" defaultRowHeight="14"/>
  <cols>
    <col min="1" max="1" width="34" customWidth="1"/>
    <col min="2" max="2" width="23" customWidth="1"/>
    <col min="3" max="3" width="24" customWidth="1"/>
    <col min="4" max="4" width="30" customWidth="1"/>
    <col min="5" max="5" width="23" customWidth="1"/>
    <col min="6" max="6" width="21" customWidth="1"/>
    <col min="7" max="8" width="23" customWidth="1"/>
    <col min="9" max="9" width="24" customWidth="1"/>
    <col min="10" max="10" width="30" customWidth="1"/>
    <col min="11" max="11" width="32" customWidth="1"/>
    <col min="12" max="12" width="23" customWidth="1"/>
    <col min="13" max="13" width="27" customWidth="1"/>
    <col min="14" max="14" width="32" customWidth="1"/>
    <col min="15" max="15" width="46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2" t="s">
        <v>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1</v>
      </c>
      <c r="B3" s="3">
        <f>Model_Prices!$C$8</f>
        <v>4</v>
      </c>
      <c r="C3" s="1"/>
      <c r="D3" s="1" t="s">
        <v>2</v>
      </c>
      <c r="E3" s="1" t="s">
        <v>93</v>
      </c>
      <c r="F3" s="1"/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94</v>
      </c>
      <c r="C4" s="1"/>
      <c r="D4" s="1" t="s">
        <v>8</v>
      </c>
      <c r="E4" s="1" t="s">
        <v>9</v>
      </c>
      <c r="F4" s="1"/>
      <c r="G4" s="1" t="s">
        <v>10</v>
      </c>
      <c r="H4" s="1" t="s">
        <v>11</v>
      </c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74" customHeight="1">
      <c r="A8" s="4" t="s">
        <v>13</v>
      </c>
      <c r="B8" s="5" t="s">
        <v>14</v>
      </c>
      <c r="C8" s="5" t="s">
        <v>15</v>
      </c>
      <c r="D8" s="5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</row>
    <row r="9" spans="1:15" ht="29" customHeight="1">
      <c r="A9" s="1" t="s">
        <v>28</v>
      </c>
      <c r="B9" s="6">
        <f>C9*100</f>
        <v>0.5416080229226361</v>
      </c>
      <c r="C9" s="6">
        <f>I9/1000000*Model_Prices!$C$8</f>
        <v>5.4160802292263612E-3</v>
      </c>
      <c r="D9" s="6">
        <f>K9/1000000*Model_Prices!$C$8</f>
        <v>5.4420577914098536E-3</v>
      </c>
      <c r="E9" s="7">
        <v>771.27220630372494</v>
      </c>
      <c r="F9" s="7">
        <v>58.284263959390863</v>
      </c>
      <c r="G9" s="7">
        <v>1.9924746981357699</v>
      </c>
      <c r="H9" s="7">
        <v>582.74785100286533</v>
      </c>
      <c r="I9" s="7">
        <f>E9+H9</f>
        <v>1354.0200573065904</v>
      </c>
      <c r="J9" s="7">
        <f>H9+L9</f>
        <v>589.24224154873855</v>
      </c>
      <c r="K9" s="7">
        <f>E9+J9</f>
        <v>1360.5144478524635</v>
      </c>
      <c r="L9" s="7">
        <v>6.4943905458731903</v>
      </c>
      <c r="M9" s="7">
        <v>1354.0200573065899</v>
      </c>
      <c r="N9" s="7">
        <f>ROUND(I9-M9,9)</f>
        <v>0</v>
      </c>
      <c r="O9" s="8" t="s">
        <v>29</v>
      </c>
    </row>
    <row r="10" spans="1:15" ht="29" customHeight="1">
      <c r="A10" s="1" t="s">
        <v>30</v>
      </c>
      <c r="B10" s="6">
        <f>C10*100</f>
        <v>0.36018788522848033</v>
      </c>
      <c r="C10" s="6">
        <f>I10/1000000*Model_Prices!$C$8</f>
        <v>3.6018788522848033E-3</v>
      </c>
      <c r="D10" s="6">
        <f>K10/1000000*Model_Prices!$C$8</f>
        <v>3.6310925190842528E-3</v>
      </c>
      <c r="E10" s="7">
        <v>579.1434643995749</v>
      </c>
      <c r="F10" s="7">
        <v>32.086323957322989</v>
      </c>
      <c r="G10" s="7">
        <v>1.098149915739052</v>
      </c>
      <c r="H10" s="7">
        <v>321.32624867162588</v>
      </c>
      <c r="I10" s="7">
        <f>E10+H10</f>
        <v>900.46971307120077</v>
      </c>
      <c r="J10" s="7">
        <f>H10+L10</f>
        <v>328.62966537148827</v>
      </c>
      <c r="K10" s="7">
        <f>E10+J10</f>
        <v>907.77312977106317</v>
      </c>
      <c r="L10" s="7">
        <v>7.3034166998623826</v>
      </c>
      <c r="M10" s="7">
        <v>900.46971307120089</v>
      </c>
      <c r="N10" s="7">
        <f>ROUND(I10-M10,9)</f>
        <v>0</v>
      </c>
      <c r="O10" s="8" t="s">
        <v>29</v>
      </c>
    </row>
    <row r="11" spans="1:15" ht="29" customHeight="1">
      <c r="A11" s="1" t="s">
        <v>31</v>
      </c>
      <c r="B11" s="6">
        <f>C11*100</f>
        <v>0.5835583157894737</v>
      </c>
      <c r="C11" s="6">
        <f>I11/1000000*Model_Prices!$C$8</f>
        <v>5.8355831578947373E-3</v>
      </c>
      <c r="D11" s="6">
        <f>K11/1000000*Model_Prices!$C$8</f>
        <v>5.8543668546035821E-3</v>
      </c>
      <c r="E11" s="7">
        <v>1014.471052631579</v>
      </c>
      <c r="F11" s="7">
        <v>44.422613065326637</v>
      </c>
      <c r="G11" s="7">
        <v>1.4433319930776001</v>
      </c>
      <c r="H11" s="7">
        <v>444.42473684210529</v>
      </c>
      <c r="I11" s="7">
        <f>E11+H11</f>
        <v>1458.8957894736843</v>
      </c>
      <c r="J11" s="7">
        <f>H11+L11</f>
        <v>449.12066101931646</v>
      </c>
      <c r="K11" s="7">
        <f>E11+J11</f>
        <v>1463.5917136508956</v>
      </c>
      <c r="L11" s="7">
        <v>4.6959241772111637</v>
      </c>
      <c r="M11" s="7">
        <v>1458.8957894736841</v>
      </c>
      <c r="N11" s="7">
        <f>ROUND(I11-M11,9)</f>
        <v>0</v>
      </c>
      <c r="O11" s="8" t="s">
        <v>29</v>
      </c>
    </row>
    <row r="12" spans="1:15" ht="58" customHeight="1">
      <c r="A12" s="1" t="s">
        <v>32</v>
      </c>
      <c r="B12" s="6" t="s">
        <v>33</v>
      </c>
      <c r="C12" s="6" t="s">
        <v>33</v>
      </c>
      <c r="D12" s="6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 t="s">
        <v>33</v>
      </c>
      <c r="O12" s="9" t="s">
        <v>34</v>
      </c>
    </row>
    <row r="13" spans="1:15" ht="29" customHeight="1">
      <c r="A13" s="1" t="s">
        <v>35</v>
      </c>
      <c r="B13" s="6">
        <f>C13*100</f>
        <v>0.47677763265306128</v>
      </c>
      <c r="C13" s="6">
        <f>I13/1000000*Model_Prices!$C$8</f>
        <v>4.7677763265306129E-3</v>
      </c>
      <c r="D13" s="6">
        <f>K13/1000000*Model_Prices!$C$8</f>
        <v>4.7893955214201502E-3</v>
      </c>
      <c r="E13" s="7">
        <v>740.26857142857148</v>
      </c>
      <c r="F13" s="7">
        <v>45.168336673346687</v>
      </c>
      <c r="G13" s="7">
        <v>1.4070105886135671</v>
      </c>
      <c r="H13" s="7">
        <v>451.67551020408172</v>
      </c>
      <c r="I13" s="7">
        <f>E13+H13</f>
        <v>1191.9440816326533</v>
      </c>
      <c r="J13" s="7">
        <f>H13+L13</f>
        <v>457.0803089264661</v>
      </c>
      <c r="K13" s="7">
        <f>E13+J13</f>
        <v>1197.3488803550376</v>
      </c>
      <c r="L13" s="7">
        <v>5.4047987223843696</v>
      </c>
      <c r="M13" s="7">
        <v>1191.944081632653</v>
      </c>
      <c r="N13" s="7">
        <f>ROUND(I13-M13,9)</f>
        <v>0</v>
      </c>
      <c r="O13" s="8" t="s">
        <v>29</v>
      </c>
    </row>
    <row r="14" spans="1:15" ht="29" customHeight="1">
      <c r="A14" s="1" t="s">
        <v>36</v>
      </c>
      <c r="B14" s="6">
        <f>C14*100</f>
        <v>1.9989279999999998</v>
      </c>
      <c r="C14" s="6">
        <f>I14/1000000*Model_Prices!$C$8</f>
        <v>1.9989279999999998E-2</v>
      </c>
      <c r="D14" s="6">
        <f>K14/1000000*Model_Prices!$C$8</f>
        <v>2.0082896870274539E-2</v>
      </c>
      <c r="E14" s="7">
        <v>2159.06</v>
      </c>
      <c r="F14" s="7">
        <v>283.51428571428568</v>
      </c>
      <c r="G14" s="7">
        <v>7.493725266337627</v>
      </c>
      <c r="H14" s="7">
        <v>2838.26</v>
      </c>
      <c r="I14" s="7">
        <f>E14+H14</f>
        <v>4997.32</v>
      </c>
      <c r="J14" s="7">
        <f>H14+L14</f>
        <v>2861.6642175686352</v>
      </c>
      <c r="K14" s="7">
        <f>E14+J14</f>
        <v>5020.7242175686351</v>
      </c>
      <c r="L14" s="7">
        <v>23.40421756863493</v>
      </c>
      <c r="M14" s="7">
        <v>4997.32</v>
      </c>
      <c r="N14" s="7">
        <f>ROUND(I14-M14,9)</f>
        <v>0</v>
      </c>
      <c r="O14" s="8" t="s">
        <v>29</v>
      </c>
    </row>
    <row r="15" spans="1:15" ht="29" customHeight="1">
      <c r="A15" s="1" t="s">
        <v>37</v>
      </c>
      <c r="B15" s="6">
        <f>C15*100</f>
        <v>1.9973110000000003</v>
      </c>
      <c r="C15" s="6">
        <f>I15/1000000*Model_Prices!$C$8</f>
        <v>1.9973110000000002E-2</v>
      </c>
      <c r="D15" s="6">
        <f>K15/1000000*Model_Prices!$C$8</f>
        <v>2.0046734028686293E-2</v>
      </c>
      <c r="E15" s="7">
        <v>2136.1075000000001</v>
      </c>
      <c r="F15" s="7">
        <v>285.72653061224491</v>
      </c>
      <c r="G15" s="7">
        <v>4.2420045083737108</v>
      </c>
      <c r="H15" s="7">
        <v>2857.17</v>
      </c>
      <c r="I15" s="7">
        <f>E15+H15</f>
        <v>4993.2775000000001</v>
      </c>
      <c r="J15" s="7">
        <f>H15+L15</f>
        <v>2875.5760071715731</v>
      </c>
      <c r="K15" s="7">
        <f>E15+J15</f>
        <v>5011.6835071715732</v>
      </c>
      <c r="L15" s="7">
        <v>18.406007171573091</v>
      </c>
      <c r="M15" s="7">
        <v>4993.2775000000001</v>
      </c>
      <c r="N15" s="7">
        <f>ROUND(I15-M15,9)</f>
        <v>0</v>
      </c>
      <c r="O15" s="8" t="s">
        <v>29</v>
      </c>
    </row>
    <row r="16" spans="1:15" ht="29" customHeight="1">
      <c r="A16" s="1" t="s">
        <v>38</v>
      </c>
      <c r="B16" s="6">
        <f>C16*100</f>
        <v>2.0104379999999997</v>
      </c>
      <c r="C16" s="6">
        <f>I16/1000000*Model_Prices!$C$8</f>
        <v>2.0104379999999998E-2</v>
      </c>
      <c r="D16" s="6">
        <f>K16/1000000*Model_Prices!$C$8</f>
        <v>2.019062753619669E-2</v>
      </c>
      <c r="E16" s="7">
        <v>2175.5825</v>
      </c>
      <c r="F16" s="7">
        <v>284.97142857142859</v>
      </c>
      <c r="G16" s="7">
        <v>6.5211743026631552</v>
      </c>
      <c r="H16" s="7">
        <v>2850.5124999999998</v>
      </c>
      <c r="I16" s="7">
        <f>E16+H16</f>
        <v>5026.0949999999993</v>
      </c>
      <c r="J16" s="7">
        <f>H16+L16</f>
        <v>2872.0743840491732</v>
      </c>
      <c r="K16" s="7">
        <f>E16+J16</f>
        <v>5047.6568840491727</v>
      </c>
      <c r="L16" s="7">
        <v>21.56188404917344</v>
      </c>
      <c r="M16" s="7">
        <v>5026.0950000000003</v>
      </c>
      <c r="N16" s="7">
        <f>ROUND(I16-M16,9)</f>
        <v>0</v>
      </c>
      <c r="O16" s="8" t="s">
        <v>29</v>
      </c>
    </row>
    <row r="17" spans="1:15" ht="58" customHeight="1">
      <c r="A17" s="1" t="s">
        <v>39</v>
      </c>
      <c r="B17" s="6" t="s">
        <v>33</v>
      </c>
      <c r="C17" s="6" t="s">
        <v>33</v>
      </c>
      <c r="D17" s="6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7" t="s">
        <v>33</v>
      </c>
      <c r="M17" s="7" t="s">
        <v>33</v>
      </c>
      <c r="N17" s="7" t="s">
        <v>33</v>
      </c>
      <c r="O17" s="9" t="s">
        <v>34</v>
      </c>
    </row>
    <row r="18" spans="1:15" ht="29" customHeight="1">
      <c r="A18" s="1" t="s">
        <v>40</v>
      </c>
      <c r="B18" s="6">
        <f>C18*100</f>
        <v>0.92670319634703191</v>
      </c>
      <c r="C18" s="6">
        <f>I18/1000000*Model_Prices!$C$8</f>
        <v>9.2670319634703194E-3</v>
      </c>
      <c r="D18" s="6">
        <f>K18/1000000*Model_Prices!$C$8</f>
        <v>9.3279904154037249E-3</v>
      </c>
      <c r="E18" s="7">
        <v>1359.3515981735161</v>
      </c>
      <c r="F18" s="7">
        <v>95.808712121212125</v>
      </c>
      <c r="G18" s="7">
        <v>4.9012366876780149</v>
      </c>
      <c r="H18" s="7">
        <v>957.40639269406392</v>
      </c>
      <c r="I18" s="7">
        <f>E18+H18</f>
        <v>2316.7579908675798</v>
      </c>
      <c r="J18" s="7">
        <f>H18+L18</f>
        <v>972.64600567741491</v>
      </c>
      <c r="K18" s="7">
        <f>E18+J18</f>
        <v>2331.9976038509312</v>
      </c>
      <c r="L18" s="7">
        <v>15.239612983351019</v>
      </c>
      <c r="M18" s="7">
        <v>2316.7579908675798</v>
      </c>
      <c r="N18" s="7">
        <f>ROUND(I18-M18,9)</f>
        <v>0</v>
      </c>
      <c r="O18" s="8" t="s">
        <v>29</v>
      </c>
    </row>
    <row r="19" spans="1:15" ht="29" customHeight="1">
      <c r="A19" s="1" t="s">
        <v>41</v>
      </c>
      <c r="B19" s="6">
        <f>C19*100</f>
        <v>0.56992748368382895</v>
      </c>
      <c r="C19" s="6">
        <f>I19/1000000*Model_Prices!$C$8</f>
        <v>5.6992748368382895E-3</v>
      </c>
      <c r="D19" s="6">
        <f>K19/1000000*Model_Prices!$C$8</f>
        <v>5.7176863858081567E-3</v>
      </c>
      <c r="E19" s="7">
        <v>939.26178390137784</v>
      </c>
      <c r="F19" s="7">
        <v>48.595473833097593</v>
      </c>
      <c r="G19" s="7">
        <v>1.4243316585835759</v>
      </c>
      <c r="H19" s="7">
        <v>485.55692530819442</v>
      </c>
      <c r="I19" s="7">
        <f>E19+H19</f>
        <v>1424.8187092095723</v>
      </c>
      <c r="J19" s="7">
        <f>H19+L19</f>
        <v>490.15981255066134</v>
      </c>
      <c r="K19" s="7">
        <f>E19+J19</f>
        <v>1429.4215964520392</v>
      </c>
      <c r="L19" s="7">
        <v>4.6028872424669416</v>
      </c>
      <c r="M19" s="7">
        <v>1424.818709209572</v>
      </c>
      <c r="N19" s="7">
        <f>ROUND(I19-M19,9)</f>
        <v>0</v>
      </c>
      <c r="O19" s="8" t="s">
        <v>29</v>
      </c>
    </row>
    <row r="20" spans="1:15" ht="29" customHeight="1">
      <c r="A20" s="1" t="s">
        <v>42</v>
      </c>
      <c r="B20" s="6">
        <f>C20*100</f>
        <v>0.68537815126050428</v>
      </c>
      <c r="C20" s="6">
        <f>I20/1000000*Model_Prices!$C$8</f>
        <v>6.8537815126050424E-3</v>
      </c>
      <c r="D20" s="6">
        <f>K20/1000000*Model_Prices!$C$8</f>
        <v>7.1585185075913231E-3</v>
      </c>
      <c r="E20" s="7">
        <v>948.93277310924373</v>
      </c>
      <c r="F20" s="7">
        <v>76.921727395411608</v>
      </c>
      <c r="G20" s="7">
        <v>9.1109120401686159</v>
      </c>
      <c r="H20" s="7">
        <v>764.51260504201684</v>
      </c>
      <c r="I20" s="7">
        <f>E20+H20</f>
        <v>1713.4453781512607</v>
      </c>
      <c r="J20" s="7">
        <f>H20+L20</f>
        <v>840.69685378858719</v>
      </c>
      <c r="K20" s="7">
        <f>E20+J20</f>
        <v>1789.6296268978308</v>
      </c>
      <c r="L20" s="7">
        <v>76.184248746570333</v>
      </c>
      <c r="M20" s="7">
        <v>1713.44537815126</v>
      </c>
      <c r="N20" s="7">
        <f>ROUND(I20-M20,9)</f>
        <v>0</v>
      </c>
      <c r="O20" s="8" t="s">
        <v>29</v>
      </c>
    </row>
    <row r="21" spans="1:15" ht="58" customHeight="1">
      <c r="A21" s="1" t="s">
        <v>43</v>
      </c>
      <c r="B21" s="6" t="s">
        <v>33</v>
      </c>
      <c r="C21" s="6" t="s">
        <v>33</v>
      </c>
      <c r="D21" s="6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9" t="s">
        <v>34</v>
      </c>
    </row>
    <row r="22" spans="1:15" ht="58" customHeight="1">
      <c r="A22" s="1" t="s">
        <v>44</v>
      </c>
      <c r="B22" s="6" t="s">
        <v>33</v>
      </c>
      <c r="C22" s="6" t="s">
        <v>33</v>
      </c>
      <c r="D22" s="6" t="s">
        <v>33</v>
      </c>
      <c r="E22" s="7" t="s">
        <v>33</v>
      </c>
      <c r="F22" s="7" t="s">
        <v>33</v>
      </c>
      <c r="G22" s="7" t="s">
        <v>33</v>
      </c>
      <c r="H22" s="7" t="s">
        <v>33</v>
      </c>
      <c r="I22" s="7" t="s">
        <v>33</v>
      </c>
      <c r="J22" s="7" t="s">
        <v>33</v>
      </c>
      <c r="K22" s="7" t="s">
        <v>33</v>
      </c>
      <c r="L22" s="7" t="s">
        <v>33</v>
      </c>
      <c r="M22" s="7" t="s">
        <v>33</v>
      </c>
      <c r="N22" s="7" t="s">
        <v>33</v>
      </c>
      <c r="O22" s="9" t="s">
        <v>34</v>
      </c>
    </row>
    <row r="23" spans="1:15" ht="58" customHeight="1">
      <c r="A23" s="1" t="s">
        <v>45</v>
      </c>
      <c r="B23" s="6" t="s">
        <v>33</v>
      </c>
      <c r="C23" s="6" t="s">
        <v>33</v>
      </c>
      <c r="D23" s="6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9" t="s">
        <v>34</v>
      </c>
    </row>
    <row r="24" spans="1:15" ht="58" customHeight="1">
      <c r="A24" s="1" t="s">
        <v>46</v>
      </c>
      <c r="B24" s="6" t="s">
        <v>33</v>
      </c>
      <c r="C24" s="6" t="s">
        <v>33</v>
      </c>
      <c r="D24" s="6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  <c r="N24" s="7" t="s">
        <v>33</v>
      </c>
      <c r="O24" s="9" t="s">
        <v>34</v>
      </c>
    </row>
    <row r="25" spans="1:15" ht="58" customHeight="1">
      <c r="A25" s="1" t="s">
        <v>47</v>
      </c>
      <c r="B25" s="6" t="s">
        <v>33</v>
      </c>
      <c r="C25" s="6" t="s">
        <v>33</v>
      </c>
      <c r="D25" s="6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7" t="s">
        <v>33</v>
      </c>
      <c r="M25" s="7" t="s">
        <v>33</v>
      </c>
      <c r="N25" s="7" t="s">
        <v>33</v>
      </c>
      <c r="O25" s="9" t="s">
        <v>34</v>
      </c>
    </row>
    <row r="26" spans="1:15" ht="29" customHeight="1">
      <c r="A26" s="1" t="s">
        <v>48</v>
      </c>
      <c r="B26" s="6">
        <f>C26*100</f>
        <v>2.4868000000000001</v>
      </c>
      <c r="C26" s="6">
        <f>I26/1000000*Model_Prices!$C$8</f>
        <v>2.4868000000000001E-2</v>
      </c>
      <c r="D26" s="6">
        <f>K26/1000000*Model_Prices!$C$8</f>
        <v>2.4868000000000001E-2</v>
      </c>
      <c r="E26" s="7">
        <v>1127</v>
      </c>
      <c r="F26" s="7">
        <v>509</v>
      </c>
      <c r="G26" s="7">
        <v>0</v>
      </c>
      <c r="H26" s="7">
        <v>5090</v>
      </c>
      <c r="I26" s="7">
        <f>E26+H26</f>
        <v>6217</v>
      </c>
      <c r="J26" s="7">
        <f>H26+L26</f>
        <v>5090</v>
      </c>
      <c r="K26" s="7">
        <f>E26+J26</f>
        <v>6217</v>
      </c>
      <c r="L26" s="7">
        <v>0</v>
      </c>
      <c r="M26" s="7">
        <v>6217</v>
      </c>
      <c r="N26" s="7">
        <f>ROUND(I26-M26,9)</f>
        <v>0</v>
      </c>
      <c r="O26" s="8" t="s">
        <v>29</v>
      </c>
    </row>
    <row r="27" spans="1:15" ht="58" customHeight="1">
      <c r="A27" s="1" t="s">
        <v>49</v>
      </c>
      <c r="B27" s="6" t="s">
        <v>33</v>
      </c>
      <c r="C27" s="6" t="s">
        <v>33</v>
      </c>
      <c r="D27" s="6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33</v>
      </c>
      <c r="L27" s="7" t="s">
        <v>33</v>
      </c>
      <c r="M27" s="7" t="s">
        <v>33</v>
      </c>
      <c r="N27" s="7" t="s">
        <v>33</v>
      </c>
      <c r="O27" s="9" t="s">
        <v>34</v>
      </c>
    </row>
    <row r="28" spans="1:15" ht="58" customHeight="1">
      <c r="A28" s="1" t="s">
        <v>50</v>
      </c>
      <c r="B28" s="6" t="s">
        <v>33</v>
      </c>
      <c r="C28" s="6" t="s">
        <v>33</v>
      </c>
      <c r="D28" s="6" t="s">
        <v>33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7" t="s">
        <v>33</v>
      </c>
      <c r="M28" s="7" t="s">
        <v>33</v>
      </c>
      <c r="N28" s="7" t="s">
        <v>33</v>
      </c>
      <c r="O28" s="9" t="s">
        <v>34</v>
      </c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6" customHeight="1">
      <c r="A32" s="4" t="s">
        <v>13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4" t="s">
        <v>57</v>
      </c>
      <c r="I32" s="4" t="s">
        <v>58</v>
      </c>
      <c r="J32" s="4" t="s">
        <v>59</v>
      </c>
      <c r="K32" s="1"/>
      <c r="L32" s="1"/>
      <c r="M32" s="1"/>
      <c r="N32" s="1"/>
      <c r="O32" s="1"/>
    </row>
    <row r="33" spans="1:15">
      <c r="A33" s="1" t="s">
        <v>28</v>
      </c>
      <c r="B33" s="1">
        <v>1</v>
      </c>
      <c r="C33" s="1">
        <v>0</v>
      </c>
      <c r="D33" s="1">
        <v>394</v>
      </c>
      <c r="E33" s="1">
        <v>394</v>
      </c>
      <c r="F33" s="1">
        <v>5</v>
      </c>
      <c r="G33" s="1">
        <v>5</v>
      </c>
      <c r="H33" s="1">
        <v>5</v>
      </c>
      <c r="I33" s="1">
        <v>0</v>
      </c>
      <c r="J33" s="1">
        <v>1.717117156553631</v>
      </c>
      <c r="K33" s="1"/>
      <c r="L33" s="1"/>
      <c r="M33" s="1"/>
      <c r="N33" s="1"/>
      <c r="O33" s="1"/>
    </row>
    <row r="34" spans="1:15">
      <c r="A34" s="1" t="s">
        <v>28</v>
      </c>
      <c r="B34" s="1">
        <v>10</v>
      </c>
      <c r="C34" s="1">
        <v>9</v>
      </c>
      <c r="D34" s="1">
        <v>349</v>
      </c>
      <c r="E34" s="1">
        <v>349</v>
      </c>
      <c r="F34" s="1">
        <v>5</v>
      </c>
      <c r="G34" s="1">
        <v>5</v>
      </c>
      <c r="H34" s="1">
        <v>5</v>
      </c>
      <c r="I34" s="1">
        <v>0</v>
      </c>
      <c r="J34" s="1">
        <v>1.8034831001931579</v>
      </c>
      <c r="K34" s="1"/>
      <c r="L34" s="1"/>
      <c r="M34" s="1"/>
      <c r="N34" s="1"/>
      <c r="O34" s="1"/>
    </row>
    <row r="35" spans="1:15">
      <c r="A35" s="1" t="s">
        <v>30</v>
      </c>
      <c r="B35" s="1">
        <v>1</v>
      </c>
      <c r="C35" s="1">
        <v>0</v>
      </c>
      <c r="D35" s="1">
        <v>1031</v>
      </c>
      <c r="E35" s="1">
        <v>1031</v>
      </c>
      <c r="F35" s="1">
        <v>10</v>
      </c>
      <c r="G35" s="1">
        <v>10</v>
      </c>
      <c r="H35" s="1">
        <v>10</v>
      </c>
      <c r="I35" s="1">
        <v>0</v>
      </c>
      <c r="J35" s="1">
        <v>1.0750751251067061</v>
      </c>
      <c r="K35" s="1"/>
      <c r="L35" s="1"/>
      <c r="M35" s="1"/>
      <c r="N35" s="1"/>
      <c r="O35" s="1"/>
    </row>
    <row r="36" spans="1:15">
      <c r="A36" s="1" t="s">
        <v>30</v>
      </c>
      <c r="B36" s="1">
        <v>10</v>
      </c>
      <c r="C36" s="1">
        <v>9</v>
      </c>
      <c r="D36" s="1">
        <v>941</v>
      </c>
      <c r="E36" s="1">
        <v>941</v>
      </c>
      <c r="F36" s="1">
        <v>10</v>
      </c>
      <c r="G36" s="1">
        <v>10</v>
      </c>
      <c r="H36" s="1">
        <v>10</v>
      </c>
      <c r="I36" s="1">
        <v>0</v>
      </c>
      <c r="J36" s="1">
        <v>1.100493709153624</v>
      </c>
      <c r="K36" s="1"/>
      <c r="L36" s="1"/>
      <c r="M36" s="1"/>
      <c r="N36" s="1"/>
      <c r="O36" s="1"/>
    </row>
    <row r="37" spans="1:15">
      <c r="A37" s="1" t="s">
        <v>31</v>
      </c>
      <c r="B37" s="1">
        <v>1</v>
      </c>
      <c r="C37" s="1">
        <v>0</v>
      </c>
      <c r="D37" s="1">
        <v>1990</v>
      </c>
      <c r="E37" s="1">
        <v>1990</v>
      </c>
      <c r="F37" s="1">
        <v>10</v>
      </c>
      <c r="G37" s="1">
        <v>10</v>
      </c>
      <c r="H37" s="1">
        <v>10</v>
      </c>
      <c r="I37" s="1">
        <v>0</v>
      </c>
      <c r="J37" s="1">
        <v>1.0790623925796039</v>
      </c>
      <c r="K37" s="1"/>
      <c r="L37" s="1"/>
      <c r="M37" s="1"/>
      <c r="N37" s="1"/>
      <c r="O37" s="1"/>
    </row>
    <row r="38" spans="1:15">
      <c r="A38" s="1" t="s">
        <v>31</v>
      </c>
      <c r="B38" s="1">
        <v>10</v>
      </c>
      <c r="C38" s="1">
        <v>9</v>
      </c>
      <c r="D38" s="1">
        <v>1900</v>
      </c>
      <c r="E38" s="1">
        <v>1900</v>
      </c>
      <c r="F38" s="1">
        <v>10</v>
      </c>
      <c r="G38" s="1">
        <v>10</v>
      </c>
      <c r="H38" s="1">
        <v>10</v>
      </c>
      <c r="I38" s="1">
        <v>0</v>
      </c>
      <c r="J38" s="1">
        <v>1.084194557879341</v>
      </c>
      <c r="K38" s="1"/>
      <c r="L38" s="1"/>
      <c r="M38" s="1"/>
      <c r="N38" s="1"/>
      <c r="O38" s="1"/>
    </row>
    <row r="39" spans="1:15">
      <c r="A39" s="1" t="s">
        <v>32</v>
      </c>
      <c r="B39" s="1">
        <v>1</v>
      </c>
      <c r="C39" s="1">
        <v>0</v>
      </c>
      <c r="D39" s="1" t="s">
        <v>33</v>
      </c>
      <c r="E39" s="1" t="s">
        <v>33</v>
      </c>
      <c r="F39" s="1" t="s">
        <v>33</v>
      </c>
      <c r="G39" s="1" t="s">
        <v>33</v>
      </c>
      <c r="H39" s="1">
        <v>2</v>
      </c>
      <c r="I39" s="1">
        <v>0</v>
      </c>
      <c r="J39" s="1" t="s">
        <v>33</v>
      </c>
      <c r="K39" s="1"/>
      <c r="L39" s="1"/>
      <c r="M39" s="1"/>
      <c r="N39" s="1"/>
      <c r="O39" s="1"/>
    </row>
    <row r="40" spans="1:15">
      <c r="A40" s="1" t="s">
        <v>32</v>
      </c>
      <c r="B40" s="1">
        <v>10</v>
      </c>
      <c r="C40" s="1">
        <v>9</v>
      </c>
      <c r="D40" s="1" t="s">
        <v>33</v>
      </c>
      <c r="E40" s="1" t="s">
        <v>33</v>
      </c>
      <c r="F40" s="1" t="s">
        <v>33</v>
      </c>
      <c r="G40" s="1" t="s">
        <v>33</v>
      </c>
      <c r="H40" s="1">
        <v>2</v>
      </c>
      <c r="I40" s="1">
        <v>0</v>
      </c>
      <c r="J40" s="1" t="s">
        <v>33</v>
      </c>
      <c r="K40" s="1"/>
      <c r="L40" s="1"/>
      <c r="M40" s="1"/>
      <c r="N40" s="1"/>
      <c r="O40" s="1"/>
    </row>
    <row r="41" spans="1:15">
      <c r="A41" s="1" t="s">
        <v>35</v>
      </c>
      <c r="B41" s="1">
        <v>1</v>
      </c>
      <c r="C41" s="1">
        <v>0</v>
      </c>
      <c r="D41" s="1">
        <v>2495</v>
      </c>
      <c r="E41" s="1">
        <v>2495</v>
      </c>
      <c r="F41" s="1">
        <v>5</v>
      </c>
      <c r="G41" s="1">
        <v>5</v>
      </c>
      <c r="H41" s="1">
        <v>5</v>
      </c>
      <c r="I41" s="1">
        <v>0</v>
      </c>
      <c r="J41" s="1">
        <v>1.395348401172257</v>
      </c>
      <c r="K41" s="1"/>
      <c r="L41" s="1"/>
      <c r="M41" s="1"/>
      <c r="N41" s="1"/>
      <c r="O41" s="1"/>
    </row>
    <row r="42" spans="1:15">
      <c r="A42" s="1" t="s">
        <v>35</v>
      </c>
      <c r="B42" s="1">
        <v>10</v>
      </c>
      <c r="C42" s="1">
        <v>9</v>
      </c>
      <c r="D42" s="1">
        <v>2450</v>
      </c>
      <c r="E42" s="1">
        <v>2450</v>
      </c>
      <c r="F42" s="1">
        <v>5</v>
      </c>
      <c r="G42" s="1">
        <v>5</v>
      </c>
      <c r="H42" s="1">
        <v>5</v>
      </c>
      <c r="I42" s="1">
        <v>0</v>
      </c>
      <c r="J42" s="1">
        <v>1.3814041953825129</v>
      </c>
      <c r="K42" s="1"/>
      <c r="L42" s="1"/>
      <c r="M42" s="1"/>
      <c r="N42" s="1"/>
      <c r="O42" s="1"/>
    </row>
    <row r="43" spans="1:15">
      <c r="A43" s="1" t="s">
        <v>36</v>
      </c>
      <c r="B43" s="1">
        <v>1</v>
      </c>
      <c r="C43" s="1">
        <v>0</v>
      </c>
      <c r="D43" s="1">
        <v>490</v>
      </c>
      <c r="E43" s="1">
        <v>490</v>
      </c>
      <c r="F43" s="1">
        <v>10</v>
      </c>
      <c r="G43" s="1">
        <v>10</v>
      </c>
      <c r="H43" s="1">
        <v>10</v>
      </c>
      <c r="I43" s="1">
        <v>0</v>
      </c>
      <c r="J43" s="1">
        <v>7.2467261274900654</v>
      </c>
      <c r="K43" s="1"/>
      <c r="L43" s="1"/>
      <c r="M43" s="1"/>
      <c r="N43" s="1"/>
      <c r="O43" s="1"/>
    </row>
    <row r="44" spans="1:15">
      <c r="A44" s="1" t="s">
        <v>36</v>
      </c>
      <c r="B44" s="1">
        <v>10</v>
      </c>
      <c r="C44" s="1">
        <v>9</v>
      </c>
      <c r="D44" s="1">
        <v>400</v>
      </c>
      <c r="E44" s="1">
        <v>400</v>
      </c>
      <c r="F44" s="1">
        <v>10</v>
      </c>
      <c r="G44" s="1">
        <v>10</v>
      </c>
      <c r="H44" s="1">
        <v>10</v>
      </c>
      <c r="I44" s="1">
        <v>0</v>
      </c>
      <c r="J44" s="1">
        <v>1.9407215153133131</v>
      </c>
      <c r="K44" s="1"/>
      <c r="L44" s="1"/>
      <c r="M44" s="1"/>
      <c r="N44" s="1"/>
      <c r="O44" s="1"/>
    </row>
    <row r="45" spans="1:15">
      <c r="A45" s="1" t="s">
        <v>37</v>
      </c>
      <c r="B45" s="1">
        <v>1</v>
      </c>
      <c r="C45" s="1">
        <v>0</v>
      </c>
      <c r="D45" s="1">
        <v>490</v>
      </c>
      <c r="E45" s="1">
        <v>490</v>
      </c>
      <c r="F45" s="1">
        <v>10</v>
      </c>
      <c r="G45" s="1">
        <v>10</v>
      </c>
      <c r="H45" s="1">
        <v>10</v>
      </c>
      <c r="I45" s="1">
        <v>0</v>
      </c>
      <c r="J45" s="1">
        <v>3.9827412969252811</v>
      </c>
      <c r="K45" s="1"/>
      <c r="L45" s="1"/>
      <c r="M45" s="1"/>
      <c r="N45" s="1"/>
      <c r="O45" s="1"/>
    </row>
    <row r="46" spans="1:15">
      <c r="A46" s="1" t="s">
        <v>37</v>
      </c>
      <c r="B46" s="1">
        <v>10</v>
      </c>
      <c r="C46" s="1">
        <v>9</v>
      </c>
      <c r="D46" s="1">
        <v>400</v>
      </c>
      <c r="E46" s="1">
        <v>400</v>
      </c>
      <c r="F46" s="1">
        <v>10</v>
      </c>
      <c r="G46" s="1">
        <v>10</v>
      </c>
      <c r="H46" s="1">
        <v>10</v>
      </c>
      <c r="I46" s="1">
        <v>0</v>
      </c>
      <c r="J46" s="1">
        <v>4.3290811669452447</v>
      </c>
      <c r="K46" s="1"/>
      <c r="L46" s="1"/>
      <c r="M46" s="1"/>
      <c r="N46" s="1"/>
      <c r="O46" s="1"/>
    </row>
    <row r="47" spans="1:15">
      <c r="A47" s="1" t="s">
        <v>38</v>
      </c>
      <c r="B47" s="1">
        <v>1</v>
      </c>
      <c r="C47" s="1">
        <v>0</v>
      </c>
      <c r="D47" s="1">
        <v>490</v>
      </c>
      <c r="E47" s="1">
        <v>490</v>
      </c>
      <c r="F47" s="1">
        <v>10</v>
      </c>
      <c r="G47" s="1">
        <v>10</v>
      </c>
      <c r="H47" s="1">
        <v>10</v>
      </c>
      <c r="I47" s="1">
        <v>0</v>
      </c>
      <c r="J47" s="1">
        <v>6.3690869548207196</v>
      </c>
      <c r="K47" s="1"/>
      <c r="L47" s="1"/>
      <c r="M47" s="1"/>
      <c r="N47" s="1"/>
      <c r="O47" s="1"/>
    </row>
    <row r="48" spans="1:15">
      <c r="A48" s="1" t="s">
        <v>38</v>
      </c>
      <c r="B48" s="1">
        <v>10</v>
      </c>
      <c r="C48" s="1">
        <v>9</v>
      </c>
      <c r="D48" s="1">
        <v>400</v>
      </c>
      <c r="E48" s="1">
        <v>400</v>
      </c>
      <c r="F48" s="1">
        <v>10</v>
      </c>
      <c r="G48" s="1">
        <v>10</v>
      </c>
      <c r="H48" s="1">
        <v>10</v>
      </c>
      <c r="I48" s="1">
        <v>0</v>
      </c>
      <c r="J48" s="1">
        <v>1.4415941696607959</v>
      </c>
      <c r="K48" s="1"/>
      <c r="L48" s="1"/>
      <c r="M48" s="1"/>
      <c r="N48" s="1"/>
      <c r="O48" s="1"/>
    </row>
    <row r="49" spans="1:15">
      <c r="A49" s="1" t="s">
        <v>39</v>
      </c>
      <c r="B49" s="1">
        <v>1</v>
      </c>
      <c r="C49" s="1">
        <v>0</v>
      </c>
      <c r="D49" s="1" t="s">
        <v>33</v>
      </c>
      <c r="E49" s="1" t="s">
        <v>33</v>
      </c>
      <c r="F49" s="1" t="s">
        <v>33</v>
      </c>
      <c r="G49" s="1" t="s">
        <v>33</v>
      </c>
      <c r="H49" s="1">
        <v>3</v>
      </c>
      <c r="I49" s="1">
        <v>0</v>
      </c>
      <c r="J49" s="1" t="s">
        <v>33</v>
      </c>
      <c r="K49" s="1"/>
      <c r="L49" s="1"/>
      <c r="M49" s="1"/>
      <c r="N49" s="1"/>
      <c r="O49" s="1"/>
    </row>
    <row r="50" spans="1:15">
      <c r="A50" s="1" t="s">
        <v>39</v>
      </c>
      <c r="B50" s="1">
        <v>10</v>
      </c>
      <c r="C50" s="1">
        <v>9</v>
      </c>
      <c r="D50" s="1" t="s">
        <v>33</v>
      </c>
      <c r="E50" s="1" t="s">
        <v>33</v>
      </c>
      <c r="F50" s="1" t="s">
        <v>33</v>
      </c>
      <c r="G50" s="1" t="s">
        <v>33</v>
      </c>
      <c r="H50" s="1">
        <v>3</v>
      </c>
      <c r="I50" s="1">
        <v>0</v>
      </c>
      <c r="J50" s="1" t="s">
        <v>33</v>
      </c>
      <c r="K50" s="1"/>
      <c r="L50" s="1"/>
      <c r="M50" s="1"/>
      <c r="N50" s="1"/>
      <c r="O50" s="1"/>
    </row>
    <row r="51" spans="1:15">
      <c r="A51" s="1" t="s">
        <v>40</v>
      </c>
      <c r="B51" s="1">
        <v>1</v>
      </c>
      <c r="C51" s="1">
        <v>0</v>
      </c>
      <c r="D51" s="1">
        <v>528</v>
      </c>
      <c r="E51" s="1">
        <v>528</v>
      </c>
      <c r="F51" s="1">
        <v>10</v>
      </c>
      <c r="G51" s="1">
        <v>10</v>
      </c>
      <c r="H51" s="1">
        <v>10</v>
      </c>
      <c r="I51" s="1">
        <v>0</v>
      </c>
      <c r="J51" s="1">
        <v>4.1107573879761787</v>
      </c>
      <c r="K51" s="1"/>
      <c r="L51" s="1"/>
      <c r="M51" s="1"/>
      <c r="N51" s="1"/>
      <c r="O51" s="1"/>
    </row>
    <row r="52" spans="1:15">
      <c r="A52" s="1" t="s">
        <v>40</v>
      </c>
      <c r="B52" s="1">
        <v>10</v>
      </c>
      <c r="C52" s="1">
        <v>9</v>
      </c>
      <c r="D52" s="1">
        <v>438</v>
      </c>
      <c r="E52" s="1">
        <v>438</v>
      </c>
      <c r="F52" s="1">
        <v>10</v>
      </c>
      <c r="G52" s="1">
        <v>10</v>
      </c>
      <c r="H52" s="1">
        <v>10</v>
      </c>
      <c r="I52" s="1">
        <v>0</v>
      </c>
      <c r="J52" s="1">
        <v>4.1473581515975004</v>
      </c>
      <c r="K52" s="1"/>
      <c r="L52" s="1"/>
      <c r="M52" s="1"/>
      <c r="N52" s="1"/>
      <c r="O52" s="1"/>
    </row>
    <row r="53" spans="1:15">
      <c r="A53" s="1" t="s">
        <v>41</v>
      </c>
      <c r="B53" s="1">
        <v>1</v>
      </c>
      <c r="C53" s="1">
        <v>0</v>
      </c>
      <c r="D53" s="1">
        <v>1414</v>
      </c>
      <c r="E53" s="1">
        <v>1414</v>
      </c>
      <c r="F53" s="1">
        <v>5</v>
      </c>
      <c r="G53" s="1">
        <v>5</v>
      </c>
      <c r="H53" s="1">
        <v>5</v>
      </c>
      <c r="I53" s="1">
        <v>0</v>
      </c>
      <c r="J53" s="1">
        <v>1.0522247228676771</v>
      </c>
      <c r="K53" s="1"/>
      <c r="L53" s="1"/>
      <c r="M53" s="1"/>
      <c r="N53" s="1"/>
      <c r="O53" s="1"/>
    </row>
    <row r="54" spans="1:15">
      <c r="A54" s="1" t="s">
        <v>41</v>
      </c>
      <c r="B54" s="1">
        <v>10</v>
      </c>
      <c r="C54" s="1">
        <v>9</v>
      </c>
      <c r="D54" s="1">
        <v>1379</v>
      </c>
      <c r="E54" s="1">
        <v>1379</v>
      </c>
      <c r="F54" s="1">
        <v>3</v>
      </c>
      <c r="G54" s="1">
        <v>3</v>
      </c>
      <c r="H54" s="1">
        <v>5</v>
      </c>
      <c r="I54" s="1">
        <v>0</v>
      </c>
      <c r="J54" s="1">
        <v>1.054186725909521</v>
      </c>
      <c r="K54" s="1"/>
      <c r="L54" s="1"/>
      <c r="M54" s="1"/>
      <c r="N54" s="1"/>
      <c r="O54" s="1"/>
    </row>
    <row r="55" spans="1:15">
      <c r="A55" s="1" t="s">
        <v>42</v>
      </c>
      <c r="B55" s="1">
        <v>1</v>
      </c>
      <c r="C55" s="1">
        <v>0</v>
      </c>
      <c r="D55" s="1">
        <v>741</v>
      </c>
      <c r="E55" s="1">
        <v>741</v>
      </c>
      <c r="F55" s="1">
        <v>3</v>
      </c>
      <c r="G55" s="1">
        <v>3</v>
      </c>
      <c r="H55" s="1">
        <v>3</v>
      </c>
      <c r="I55" s="1">
        <v>0</v>
      </c>
      <c r="J55" s="1">
        <v>8.7571872376841799</v>
      </c>
      <c r="K55" s="1"/>
      <c r="L55" s="1"/>
      <c r="M55" s="1"/>
      <c r="N55" s="1"/>
      <c r="O55" s="1"/>
    </row>
    <row r="56" spans="1:15">
      <c r="A56" s="1" t="s">
        <v>42</v>
      </c>
      <c r="B56" s="1">
        <v>10</v>
      </c>
      <c r="C56" s="1">
        <v>9</v>
      </c>
      <c r="D56" s="1">
        <v>714</v>
      </c>
      <c r="E56" s="1">
        <v>714</v>
      </c>
      <c r="F56" s="1">
        <v>3</v>
      </c>
      <c r="G56" s="1">
        <v>3</v>
      </c>
      <c r="H56" s="1">
        <v>3</v>
      </c>
      <c r="I56" s="1">
        <v>0</v>
      </c>
      <c r="J56" s="1">
        <v>8.690505871919374</v>
      </c>
      <c r="K56" s="1"/>
      <c r="L56" s="1"/>
      <c r="M56" s="1"/>
      <c r="N56" s="1"/>
      <c r="O56" s="1"/>
    </row>
    <row r="57" spans="1:15">
      <c r="A57" s="1" t="s">
        <v>43</v>
      </c>
      <c r="B57" s="1">
        <v>1</v>
      </c>
      <c r="C57" s="1">
        <v>0</v>
      </c>
      <c r="D57" s="1" t="s">
        <v>33</v>
      </c>
      <c r="E57" s="1" t="s">
        <v>33</v>
      </c>
      <c r="F57" s="1" t="s">
        <v>33</v>
      </c>
      <c r="G57" s="1" t="s">
        <v>33</v>
      </c>
      <c r="H57" s="1">
        <v>24</v>
      </c>
      <c r="I57" s="1">
        <v>0</v>
      </c>
      <c r="J57" s="1" t="s">
        <v>33</v>
      </c>
      <c r="K57" s="1"/>
      <c r="L57" s="1"/>
      <c r="M57" s="1"/>
      <c r="N57" s="1"/>
      <c r="O57" s="1"/>
    </row>
    <row r="58" spans="1:15">
      <c r="A58" s="1" t="s">
        <v>43</v>
      </c>
      <c r="B58" s="1">
        <v>10</v>
      </c>
      <c r="C58" s="1">
        <v>9</v>
      </c>
      <c r="D58" s="1" t="s">
        <v>33</v>
      </c>
      <c r="E58" s="1" t="s">
        <v>33</v>
      </c>
      <c r="F58" s="1" t="s">
        <v>33</v>
      </c>
      <c r="G58" s="1" t="s">
        <v>33</v>
      </c>
      <c r="H58" s="1">
        <v>24</v>
      </c>
      <c r="I58" s="1">
        <v>0</v>
      </c>
      <c r="J58" s="1" t="s">
        <v>33</v>
      </c>
      <c r="K58" s="1"/>
      <c r="L58" s="1"/>
      <c r="M58" s="1"/>
      <c r="N58" s="1"/>
      <c r="O58" s="1"/>
    </row>
    <row r="59" spans="1:15">
      <c r="A59" s="1" t="s">
        <v>44</v>
      </c>
      <c r="B59" s="1">
        <v>1</v>
      </c>
      <c r="C59" s="1">
        <v>0</v>
      </c>
      <c r="D59" s="1" t="s">
        <v>33</v>
      </c>
      <c r="E59" s="1" t="s">
        <v>33</v>
      </c>
      <c r="F59" s="1" t="s">
        <v>33</v>
      </c>
      <c r="G59" s="1" t="s">
        <v>33</v>
      </c>
      <c r="H59" s="1">
        <v>11</v>
      </c>
      <c r="I59" s="1">
        <v>0</v>
      </c>
      <c r="J59" s="1" t="s">
        <v>33</v>
      </c>
      <c r="K59" s="1"/>
      <c r="L59" s="1"/>
      <c r="M59" s="1"/>
      <c r="N59" s="1"/>
      <c r="O59" s="1"/>
    </row>
    <row r="60" spans="1:15">
      <c r="A60" s="1" t="s">
        <v>44</v>
      </c>
      <c r="B60" s="1">
        <v>10</v>
      </c>
      <c r="C60" s="1">
        <v>9</v>
      </c>
      <c r="D60" s="1" t="s">
        <v>33</v>
      </c>
      <c r="E60" s="1" t="s">
        <v>33</v>
      </c>
      <c r="F60" s="1" t="s">
        <v>33</v>
      </c>
      <c r="G60" s="1" t="s">
        <v>33</v>
      </c>
      <c r="H60" s="1">
        <v>11</v>
      </c>
      <c r="I60" s="1">
        <v>0</v>
      </c>
      <c r="J60" s="1" t="s">
        <v>33</v>
      </c>
      <c r="K60" s="1"/>
      <c r="L60" s="1"/>
      <c r="M60" s="1"/>
      <c r="N60" s="1"/>
      <c r="O60" s="1"/>
    </row>
    <row r="61" spans="1:15">
      <c r="A61" s="1" t="s">
        <v>45</v>
      </c>
      <c r="B61" s="1">
        <v>1</v>
      </c>
      <c r="C61" s="1">
        <v>0</v>
      </c>
      <c r="D61" s="1" t="s">
        <v>33</v>
      </c>
      <c r="E61" s="1" t="s">
        <v>33</v>
      </c>
      <c r="F61" s="1" t="s">
        <v>33</v>
      </c>
      <c r="G61" s="1" t="s">
        <v>33</v>
      </c>
      <c r="H61" s="1">
        <v>17</v>
      </c>
      <c r="I61" s="1">
        <v>0</v>
      </c>
      <c r="J61" s="1" t="s">
        <v>33</v>
      </c>
      <c r="K61" s="1"/>
      <c r="L61" s="1"/>
      <c r="M61" s="1"/>
      <c r="N61" s="1"/>
      <c r="O61" s="1"/>
    </row>
    <row r="62" spans="1:15">
      <c r="A62" s="1" t="s">
        <v>45</v>
      </c>
      <c r="B62" s="1">
        <v>10</v>
      </c>
      <c r="C62" s="1">
        <v>9</v>
      </c>
      <c r="D62" s="1" t="s">
        <v>33</v>
      </c>
      <c r="E62" s="1" t="s">
        <v>33</v>
      </c>
      <c r="F62" s="1" t="s">
        <v>33</v>
      </c>
      <c r="G62" s="1" t="s">
        <v>33</v>
      </c>
      <c r="H62" s="1">
        <v>17</v>
      </c>
      <c r="I62" s="1">
        <v>0</v>
      </c>
      <c r="J62" s="1" t="s">
        <v>33</v>
      </c>
      <c r="K62" s="1"/>
      <c r="L62" s="1"/>
      <c r="M62" s="1"/>
      <c r="N62" s="1"/>
      <c r="O62" s="1"/>
    </row>
    <row r="63" spans="1:15">
      <c r="A63" s="1" t="s">
        <v>46</v>
      </c>
      <c r="B63" s="1">
        <v>1</v>
      </c>
      <c r="C63" s="1">
        <v>0</v>
      </c>
      <c r="D63" s="1" t="s">
        <v>33</v>
      </c>
      <c r="E63" s="1" t="s">
        <v>33</v>
      </c>
      <c r="F63" s="1" t="s">
        <v>33</v>
      </c>
      <c r="G63" s="1" t="s">
        <v>33</v>
      </c>
      <c r="H63" s="1">
        <v>5</v>
      </c>
      <c r="I63" s="1">
        <v>0</v>
      </c>
      <c r="J63" s="1" t="s">
        <v>33</v>
      </c>
      <c r="K63" s="1"/>
      <c r="L63" s="1"/>
      <c r="M63" s="1"/>
      <c r="N63" s="1"/>
      <c r="O63" s="1"/>
    </row>
    <row r="64" spans="1:15">
      <c r="A64" s="1" t="s">
        <v>46</v>
      </c>
      <c r="B64" s="1">
        <v>10</v>
      </c>
      <c r="C64" s="1">
        <v>9</v>
      </c>
      <c r="D64" s="1" t="s">
        <v>33</v>
      </c>
      <c r="E64" s="1" t="s">
        <v>33</v>
      </c>
      <c r="F64" s="1" t="s">
        <v>33</v>
      </c>
      <c r="G64" s="1" t="s">
        <v>33</v>
      </c>
      <c r="H64" s="1">
        <v>5</v>
      </c>
      <c r="I64" s="1">
        <v>0</v>
      </c>
      <c r="J64" s="1" t="s">
        <v>33</v>
      </c>
      <c r="K64" s="1"/>
      <c r="L64" s="1"/>
      <c r="M64" s="1"/>
      <c r="N64" s="1"/>
      <c r="O64" s="1"/>
    </row>
    <row r="65" spans="1:15">
      <c r="A65" s="1" t="s">
        <v>47</v>
      </c>
      <c r="B65" s="1">
        <v>1</v>
      </c>
      <c r="C65" s="1">
        <v>0</v>
      </c>
      <c r="D65" s="1" t="s">
        <v>33</v>
      </c>
      <c r="E65" s="1" t="s">
        <v>33</v>
      </c>
      <c r="F65" s="1" t="s">
        <v>33</v>
      </c>
      <c r="G65" s="1" t="s">
        <v>33</v>
      </c>
      <c r="H65" s="1">
        <v>11</v>
      </c>
      <c r="I65" s="1">
        <v>0</v>
      </c>
      <c r="J65" s="1" t="s">
        <v>33</v>
      </c>
      <c r="K65" s="1"/>
      <c r="L65" s="1"/>
      <c r="M65" s="1"/>
      <c r="N65" s="1"/>
      <c r="O65" s="1"/>
    </row>
    <row r="66" spans="1:15">
      <c r="A66" s="1" t="s">
        <v>47</v>
      </c>
      <c r="B66" s="1">
        <v>10</v>
      </c>
      <c r="C66" s="1">
        <v>9</v>
      </c>
      <c r="D66" s="1" t="s">
        <v>33</v>
      </c>
      <c r="E66" s="1" t="s">
        <v>33</v>
      </c>
      <c r="F66" s="1" t="s">
        <v>33</v>
      </c>
      <c r="G66" s="1" t="s">
        <v>33</v>
      </c>
      <c r="H66" s="1">
        <v>11</v>
      </c>
      <c r="I66" s="1">
        <v>0</v>
      </c>
      <c r="J66" s="1" t="s">
        <v>33</v>
      </c>
      <c r="K66" s="1"/>
      <c r="L66" s="1"/>
      <c r="M66" s="1"/>
      <c r="N66" s="1"/>
      <c r="O66" s="1"/>
    </row>
    <row r="67" spans="1:15">
      <c r="A67" s="1" t="s">
        <v>48</v>
      </c>
      <c r="B67" s="1">
        <v>1</v>
      </c>
      <c r="C67" s="1">
        <v>0</v>
      </c>
      <c r="D67" s="1">
        <v>120</v>
      </c>
      <c r="E67" s="1">
        <v>120</v>
      </c>
      <c r="F67" s="1">
        <v>10</v>
      </c>
      <c r="G67" s="1">
        <v>10</v>
      </c>
      <c r="H67" s="1">
        <v>10</v>
      </c>
      <c r="I67" s="1">
        <v>0</v>
      </c>
      <c r="J67" s="1">
        <v>0</v>
      </c>
      <c r="K67" s="1"/>
      <c r="L67" s="1"/>
      <c r="M67" s="1"/>
      <c r="N67" s="1"/>
      <c r="O67" s="1"/>
    </row>
    <row r="68" spans="1:15">
      <c r="A68" s="1" t="s">
        <v>48</v>
      </c>
      <c r="B68" s="1">
        <v>10</v>
      </c>
      <c r="C68" s="1">
        <v>9</v>
      </c>
      <c r="D68" s="1">
        <v>33</v>
      </c>
      <c r="E68" s="1">
        <v>33</v>
      </c>
      <c r="F68" s="1">
        <v>5</v>
      </c>
      <c r="G68" s="1">
        <v>5</v>
      </c>
      <c r="H68" s="1">
        <v>10</v>
      </c>
      <c r="I68" s="1">
        <v>0</v>
      </c>
      <c r="J68" s="1">
        <v>0</v>
      </c>
      <c r="K68" s="1"/>
      <c r="L68" s="1"/>
      <c r="M68" s="1"/>
      <c r="N68" s="1"/>
      <c r="O68" s="1"/>
    </row>
    <row r="69" spans="1:15">
      <c r="A69" s="1" t="s">
        <v>49</v>
      </c>
      <c r="B69" s="1">
        <v>1</v>
      </c>
      <c r="C69" s="1">
        <v>0</v>
      </c>
      <c r="D69" s="1" t="s">
        <v>33</v>
      </c>
      <c r="E69" s="1" t="s">
        <v>33</v>
      </c>
      <c r="F69" s="1" t="s">
        <v>33</v>
      </c>
      <c r="G69" s="1" t="s">
        <v>33</v>
      </c>
      <c r="H69" s="1">
        <v>6</v>
      </c>
      <c r="I69" s="1">
        <v>0</v>
      </c>
      <c r="J69" s="1" t="s">
        <v>33</v>
      </c>
      <c r="K69" s="1"/>
      <c r="L69" s="1"/>
      <c r="M69" s="1"/>
      <c r="N69" s="1"/>
      <c r="O69" s="1"/>
    </row>
    <row r="70" spans="1:15">
      <c r="A70" s="1" t="s">
        <v>49</v>
      </c>
      <c r="B70" s="1">
        <v>10</v>
      </c>
      <c r="C70" s="1">
        <v>9</v>
      </c>
      <c r="D70" s="1" t="s">
        <v>33</v>
      </c>
      <c r="E70" s="1" t="s">
        <v>33</v>
      </c>
      <c r="F70" s="1" t="s">
        <v>33</v>
      </c>
      <c r="G70" s="1" t="s">
        <v>33</v>
      </c>
      <c r="H70" s="1">
        <v>6</v>
      </c>
      <c r="I70" s="1">
        <v>0</v>
      </c>
      <c r="J70" s="1" t="s">
        <v>33</v>
      </c>
      <c r="K70" s="1"/>
      <c r="L70" s="1"/>
      <c r="M70" s="1"/>
      <c r="N70" s="1"/>
      <c r="O70" s="1"/>
    </row>
    <row r="71" spans="1:15">
      <c r="A71" s="1" t="s">
        <v>50</v>
      </c>
      <c r="B71" s="1">
        <v>1</v>
      </c>
      <c r="C71" s="1">
        <v>0</v>
      </c>
      <c r="D71" s="1" t="s">
        <v>33</v>
      </c>
      <c r="E71" s="1" t="s">
        <v>33</v>
      </c>
      <c r="F71" s="1" t="s">
        <v>33</v>
      </c>
      <c r="G71" s="1" t="s">
        <v>33</v>
      </c>
      <c r="H71" s="1">
        <v>5</v>
      </c>
      <c r="I71" s="1">
        <v>0</v>
      </c>
      <c r="J71" s="1" t="s">
        <v>33</v>
      </c>
      <c r="K71" s="1"/>
      <c r="L71" s="1"/>
      <c r="M71" s="1"/>
      <c r="N71" s="1"/>
      <c r="O71" s="1"/>
    </row>
    <row r="72" spans="1:15">
      <c r="A72" s="1" t="s">
        <v>50</v>
      </c>
      <c r="B72" s="1">
        <v>10</v>
      </c>
      <c r="C72" s="1">
        <v>9</v>
      </c>
      <c r="D72" s="1" t="s">
        <v>33</v>
      </c>
      <c r="E72" s="1" t="s">
        <v>33</v>
      </c>
      <c r="F72" s="1" t="s">
        <v>33</v>
      </c>
      <c r="G72" s="1" t="s">
        <v>33</v>
      </c>
      <c r="H72" s="1">
        <v>5</v>
      </c>
      <c r="I72" s="1">
        <v>0</v>
      </c>
      <c r="J72" s="1" t="s">
        <v>33</v>
      </c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60</v>
      </c>
      <c r="B74" s="1" t="s">
        <v>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62</v>
      </c>
      <c r="B75" s="1" t="s">
        <v>63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64</v>
      </c>
      <c r="B76" s="1" t="s">
        <v>65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66</v>
      </c>
      <c r="B77" s="1" t="s">
        <v>67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14</v>
      </c>
      <c r="B78" s="1" t="s">
        <v>68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69</v>
      </c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71</v>
      </c>
      <c r="B80" s="1" t="s">
        <v>72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73</v>
      </c>
      <c r="B81" s="1" t="s">
        <v>74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75</v>
      </c>
      <c r="B82" s="1" t="s">
        <v>95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77</v>
      </c>
      <c r="B83" s="1" t="s">
        <v>78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79</v>
      </c>
      <c r="B84" s="1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81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83</v>
      </c>
      <c r="B86" s="1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85</v>
      </c>
      <c r="B87" s="1" t="s">
        <v>86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87</v>
      </c>
      <c r="B88" s="1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89</v>
      </c>
      <c r="B89" s="1" t="s">
        <v>90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91</v>
      </c>
      <c r="B90" s="1" t="s">
        <v>92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</sheetData>
  <autoFilter ref="A8:O28" xr:uid="{00000000-0009-0000-0000-000001000000}"/>
  <phoneticPr fontId="4"/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656D-C825-CD4E-BD37-26203536DE88}">
  <dimension ref="A1:J8"/>
  <sheetViews>
    <sheetView zoomScale="254" workbookViewId="0">
      <selection activeCell="D9" sqref="D9"/>
    </sheetView>
  </sheetViews>
  <sheetFormatPr baseColWidth="10" defaultRowHeight="14"/>
  <cols>
    <col min="2" max="10" width="7.6640625" customWidth="1"/>
  </cols>
  <sheetData>
    <row r="1" spans="1:10" ht="19">
      <c r="A1" s="21"/>
      <c r="B1" s="23" t="s">
        <v>174</v>
      </c>
      <c r="C1" s="24"/>
      <c r="D1" s="25"/>
      <c r="E1" s="26" t="s">
        <v>175</v>
      </c>
      <c r="F1" s="24"/>
      <c r="G1" s="25"/>
      <c r="H1" s="26" t="s">
        <v>176</v>
      </c>
      <c r="I1" s="24"/>
      <c r="J1" s="25"/>
    </row>
    <row r="2" spans="1:10" ht="20" thickBot="1">
      <c r="A2" s="20"/>
      <c r="B2" s="18" t="s">
        <v>177</v>
      </c>
      <c r="C2" s="18" t="s">
        <v>178</v>
      </c>
      <c r="D2" s="30" t="s">
        <v>179</v>
      </c>
      <c r="E2" s="19" t="s">
        <v>177</v>
      </c>
      <c r="F2" s="18" t="s">
        <v>178</v>
      </c>
      <c r="G2" s="31" t="s">
        <v>179</v>
      </c>
      <c r="H2" s="19" t="s">
        <v>177</v>
      </c>
      <c r="I2" s="18" t="s">
        <v>178</v>
      </c>
      <c r="J2" s="31" t="s">
        <v>179</v>
      </c>
    </row>
    <row r="3" spans="1:10" ht="19">
      <c r="A3" s="27" t="s">
        <v>180</v>
      </c>
      <c r="B3" s="17">
        <f>B4*2.5</f>
        <v>0.90046971307120083</v>
      </c>
      <c r="C3" s="17">
        <f t="shared" ref="C3" si="0">C4*2.5</f>
        <v>4.5023485653560043</v>
      </c>
      <c r="D3" s="22">
        <f>B3+C3</f>
        <v>5.4028182784272047</v>
      </c>
      <c r="E3" s="17">
        <f>E4*2.5</f>
        <v>1.4588957894736843</v>
      </c>
      <c r="F3" s="17">
        <f>F4*2.5</f>
        <v>7.2944789473684217</v>
      </c>
      <c r="G3" s="22">
        <f>E3+F3</f>
        <v>8.7533747368421064</v>
      </c>
      <c r="H3" s="17">
        <f>H4*2.5</f>
        <v>5.0055641666666659</v>
      </c>
      <c r="I3" s="17">
        <f>I4*2.5</f>
        <v>25.02782083333333</v>
      </c>
      <c r="J3" s="22">
        <f>H3+I3</f>
        <v>30.033384999999996</v>
      </c>
    </row>
    <row r="4" spans="1:10" ht="19">
      <c r="A4" s="28" t="s">
        <v>181</v>
      </c>
      <c r="B4" s="17">
        <f>'gpt-5.6-sol'!B10</f>
        <v>0.36018788522848033</v>
      </c>
      <c r="C4" s="17">
        <f>5*B4</f>
        <v>1.8009394261424017</v>
      </c>
      <c r="D4" s="22">
        <f>B4+C4</f>
        <v>2.161127311370882</v>
      </c>
      <c r="E4" s="17">
        <f>'gpt-5.6-sol'!B11</f>
        <v>0.5835583157894737</v>
      </c>
      <c r="F4" s="17">
        <f>5*E4</f>
        <v>2.9177915789473685</v>
      </c>
      <c r="G4" s="22">
        <f>E4+F4</f>
        <v>3.5013498947368422</v>
      </c>
      <c r="H4" s="17">
        <f>AVERAGE('gpt-5.6-sol'!B14:'gpt-5.6-sol'!B16)</f>
        <v>2.0022256666666665</v>
      </c>
      <c r="I4" s="17">
        <f>5*H4</f>
        <v>10.011128333333332</v>
      </c>
      <c r="J4" s="22">
        <f>H4+I4</f>
        <v>12.013353999999998</v>
      </c>
    </row>
    <row r="5" spans="1:10" ht="19">
      <c r="A5" s="29">
        <v>3.5</v>
      </c>
      <c r="B5" s="17">
        <f>'chatGPT3.5'!B10</f>
        <v>4.5123485653560037E-2</v>
      </c>
      <c r="C5" s="17">
        <f>5*B5</f>
        <v>0.22561742826780018</v>
      </c>
      <c r="D5" s="22">
        <f>B5+C5</f>
        <v>0.27074091392136024</v>
      </c>
      <c r="E5" s="17">
        <f>'chatGPT3.5'!B11</f>
        <v>7.3394789473684205E-2</v>
      </c>
      <c r="F5" s="17">
        <f>5*E5</f>
        <v>0.36697394736842104</v>
      </c>
      <c r="G5" s="22">
        <f>E5+F5</f>
        <v>0.44036873684210526</v>
      </c>
      <c r="H5" s="17">
        <f>AVERAGE('chatGPT3.5'!B14:'chatGPT3.5'!B16)</f>
        <v>0.25039487499999996</v>
      </c>
      <c r="I5" s="17">
        <f>5*H5</f>
        <v>1.2519743749999999</v>
      </c>
      <c r="J5" s="22">
        <f>H5+I5</f>
        <v>1.5023692499999999</v>
      </c>
    </row>
    <row r="8" spans="1:10">
      <c r="D8" s="32">
        <f>D5+D3+G3+G5</f>
        <v>14.867302666032776</v>
      </c>
    </row>
  </sheetData>
  <mergeCells count="3">
    <mergeCell ref="B1:D1"/>
    <mergeCell ref="E1:G1"/>
    <mergeCell ref="H1:J1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0"/>
  <sheetViews>
    <sheetView showGridLines="0" zoomScale="85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4" customWidth="1"/>
    <col min="2" max="2" width="23" customWidth="1"/>
    <col min="3" max="3" width="24" customWidth="1"/>
    <col min="4" max="4" width="30" customWidth="1"/>
    <col min="5" max="5" width="23" customWidth="1"/>
    <col min="6" max="6" width="21" customWidth="1"/>
    <col min="7" max="8" width="23" customWidth="1"/>
    <col min="9" max="9" width="24" customWidth="1"/>
    <col min="10" max="10" width="30" customWidth="1"/>
    <col min="11" max="11" width="32" customWidth="1"/>
    <col min="12" max="12" width="23" customWidth="1"/>
    <col min="13" max="13" width="27" customWidth="1"/>
    <col min="14" max="14" width="32" customWidth="1"/>
    <col min="15" max="15" width="46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2" t="s">
        <v>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1</v>
      </c>
      <c r="B3" s="3">
        <f>Model_Prices!$C$9</f>
        <v>2</v>
      </c>
      <c r="C3" s="1"/>
      <c r="D3" s="1" t="s">
        <v>2</v>
      </c>
      <c r="E3" s="1" t="s">
        <v>96</v>
      </c>
      <c r="F3" s="1"/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94</v>
      </c>
      <c r="C4" s="1"/>
      <c r="D4" s="1" t="s">
        <v>8</v>
      </c>
      <c r="E4" s="1" t="s">
        <v>9</v>
      </c>
      <c r="F4" s="1"/>
      <c r="G4" s="1" t="s">
        <v>10</v>
      </c>
      <c r="H4" s="1" t="s">
        <v>11</v>
      </c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74" customHeight="1">
      <c r="A8" s="4" t="s">
        <v>13</v>
      </c>
      <c r="B8" s="5" t="s">
        <v>14</v>
      </c>
      <c r="C8" s="5" t="s">
        <v>15</v>
      </c>
      <c r="D8" s="5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</row>
    <row r="9" spans="1:15" ht="29" customHeight="1">
      <c r="A9" s="1" t="s">
        <v>28</v>
      </c>
      <c r="B9" s="6">
        <f>C9*100</f>
        <v>0.27080401146131805</v>
      </c>
      <c r="C9" s="6">
        <f>I9/1000000*Model_Prices!$C$9</f>
        <v>2.7080401146131806E-3</v>
      </c>
      <c r="D9" s="6">
        <f>K9/1000000*Model_Prices!$C$9</f>
        <v>2.7210288957049268E-3</v>
      </c>
      <c r="E9" s="7">
        <v>771.27220630372494</v>
      </c>
      <c r="F9" s="7">
        <v>58.284263959390863</v>
      </c>
      <c r="G9" s="7">
        <v>1.9924746981357699</v>
      </c>
      <c r="H9" s="7">
        <v>582.74785100286533</v>
      </c>
      <c r="I9" s="7">
        <f>E9+H9</f>
        <v>1354.0200573065904</v>
      </c>
      <c r="J9" s="7">
        <f>H9+L9</f>
        <v>589.24224154873855</v>
      </c>
      <c r="K9" s="7">
        <f>E9+J9</f>
        <v>1360.5144478524635</v>
      </c>
      <c r="L9" s="7">
        <v>6.4943905458731903</v>
      </c>
      <c r="M9" s="7">
        <v>1354.0200573065899</v>
      </c>
      <c r="N9" s="7">
        <f>ROUND(I9-M9,9)</f>
        <v>0</v>
      </c>
      <c r="O9" s="8" t="s">
        <v>29</v>
      </c>
    </row>
    <row r="10" spans="1:15" ht="29" customHeight="1">
      <c r="A10" s="1" t="s">
        <v>30</v>
      </c>
      <c r="B10" s="6">
        <f>C10*100</f>
        <v>0.18009394261424017</v>
      </c>
      <c r="C10" s="6">
        <f>I10/1000000*Model_Prices!$C$9</f>
        <v>1.8009394261424016E-3</v>
      </c>
      <c r="D10" s="6">
        <f>K10/1000000*Model_Prices!$C$9</f>
        <v>1.8155462595421264E-3</v>
      </c>
      <c r="E10" s="7">
        <v>579.1434643995749</v>
      </c>
      <c r="F10" s="7">
        <v>32.086323957322989</v>
      </c>
      <c r="G10" s="7">
        <v>1.098149915739052</v>
      </c>
      <c r="H10" s="7">
        <v>321.32624867162588</v>
      </c>
      <c r="I10" s="7">
        <f>E10+H10</f>
        <v>900.46971307120077</v>
      </c>
      <c r="J10" s="7">
        <f>H10+L10</f>
        <v>328.62966537148827</v>
      </c>
      <c r="K10" s="7">
        <f>E10+J10</f>
        <v>907.77312977106317</v>
      </c>
      <c r="L10" s="7">
        <v>7.3034166998623826</v>
      </c>
      <c r="M10" s="7">
        <v>900.46971307120089</v>
      </c>
      <c r="N10" s="7">
        <f>ROUND(I10-M10,9)</f>
        <v>0</v>
      </c>
      <c r="O10" s="8" t="s">
        <v>29</v>
      </c>
    </row>
    <row r="11" spans="1:15" ht="29" customHeight="1">
      <c r="A11" s="1" t="s">
        <v>31</v>
      </c>
      <c r="B11" s="6">
        <f>C11*100</f>
        <v>0.29177915789473685</v>
      </c>
      <c r="C11" s="6">
        <f>I11/1000000*Model_Prices!$C$9</f>
        <v>2.9177915789473687E-3</v>
      </c>
      <c r="D11" s="6">
        <f>K11/1000000*Model_Prices!$C$9</f>
        <v>2.927183427301791E-3</v>
      </c>
      <c r="E11" s="7">
        <v>1014.471052631579</v>
      </c>
      <c r="F11" s="7">
        <v>44.422613065326637</v>
      </c>
      <c r="G11" s="7">
        <v>1.4433319930776001</v>
      </c>
      <c r="H11" s="7">
        <v>444.42473684210529</v>
      </c>
      <c r="I11" s="7">
        <f>E11+H11</f>
        <v>1458.8957894736843</v>
      </c>
      <c r="J11" s="7">
        <f>H11+L11</f>
        <v>449.12066101931646</v>
      </c>
      <c r="K11" s="7">
        <f>E11+J11</f>
        <v>1463.5917136508956</v>
      </c>
      <c r="L11" s="7">
        <v>4.6959241772111637</v>
      </c>
      <c r="M11" s="7">
        <v>1458.8957894736841</v>
      </c>
      <c r="N11" s="7">
        <f>ROUND(I11-M11,9)</f>
        <v>0</v>
      </c>
      <c r="O11" s="8" t="s">
        <v>29</v>
      </c>
    </row>
    <row r="12" spans="1:15" ht="58" customHeight="1">
      <c r="A12" s="1" t="s">
        <v>32</v>
      </c>
      <c r="B12" s="6" t="s">
        <v>33</v>
      </c>
      <c r="C12" s="6" t="s">
        <v>33</v>
      </c>
      <c r="D12" s="6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 t="s">
        <v>33</v>
      </c>
      <c r="O12" s="9" t="s">
        <v>34</v>
      </c>
    </row>
    <row r="13" spans="1:15" ht="29" customHeight="1">
      <c r="A13" s="1" t="s">
        <v>35</v>
      </c>
      <c r="B13" s="6">
        <f>C13*100</f>
        <v>0.23838881632653064</v>
      </c>
      <c r="C13" s="6">
        <f>I13/1000000*Model_Prices!$C$9</f>
        <v>2.3838881632653065E-3</v>
      </c>
      <c r="D13" s="6">
        <f>K13/1000000*Model_Prices!$C$9</f>
        <v>2.3946977607100751E-3</v>
      </c>
      <c r="E13" s="7">
        <v>740.26857142857148</v>
      </c>
      <c r="F13" s="7">
        <v>45.168336673346687</v>
      </c>
      <c r="G13" s="7">
        <v>1.4070105886135671</v>
      </c>
      <c r="H13" s="7">
        <v>451.67551020408172</v>
      </c>
      <c r="I13" s="7">
        <f>E13+H13</f>
        <v>1191.9440816326533</v>
      </c>
      <c r="J13" s="7">
        <f>H13+L13</f>
        <v>457.0803089264661</v>
      </c>
      <c r="K13" s="7">
        <f>E13+J13</f>
        <v>1197.3488803550376</v>
      </c>
      <c r="L13" s="7">
        <v>5.4047987223843696</v>
      </c>
      <c r="M13" s="7">
        <v>1191.944081632653</v>
      </c>
      <c r="N13" s="7">
        <f>ROUND(I13-M13,9)</f>
        <v>0</v>
      </c>
      <c r="O13" s="8" t="s">
        <v>29</v>
      </c>
    </row>
    <row r="14" spans="1:15" ht="29" customHeight="1">
      <c r="A14" s="1" t="s">
        <v>36</v>
      </c>
      <c r="B14" s="6">
        <f>C14*100</f>
        <v>0.99946399999999991</v>
      </c>
      <c r="C14" s="6">
        <f>I14/1000000*Model_Prices!$C$9</f>
        <v>9.9946399999999991E-3</v>
      </c>
      <c r="D14" s="6">
        <f>K14/1000000*Model_Prices!$C$9</f>
        <v>1.004144843513727E-2</v>
      </c>
      <c r="E14" s="7">
        <v>2159.06</v>
      </c>
      <c r="F14" s="7">
        <v>283.51428571428568</v>
      </c>
      <c r="G14" s="7">
        <v>7.493725266337627</v>
      </c>
      <c r="H14" s="7">
        <v>2838.26</v>
      </c>
      <c r="I14" s="7">
        <f>E14+H14</f>
        <v>4997.32</v>
      </c>
      <c r="J14" s="7">
        <f>H14+L14</f>
        <v>2861.6642175686352</v>
      </c>
      <c r="K14" s="7">
        <f>E14+J14</f>
        <v>5020.7242175686351</v>
      </c>
      <c r="L14" s="7">
        <v>23.40421756863493</v>
      </c>
      <c r="M14" s="7">
        <v>4997.32</v>
      </c>
      <c r="N14" s="7">
        <f>ROUND(I14-M14,9)</f>
        <v>0</v>
      </c>
      <c r="O14" s="8" t="s">
        <v>29</v>
      </c>
    </row>
    <row r="15" spans="1:15" ht="29" customHeight="1">
      <c r="A15" s="1" t="s">
        <v>37</v>
      </c>
      <c r="B15" s="6">
        <f>C15*100</f>
        <v>0.99865550000000014</v>
      </c>
      <c r="C15" s="6">
        <f>I15/1000000*Model_Prices!$C$9</f>
        <v>9.9865550000000011E-3</v>
      </c>
      <c r="D15" s="6">
        <f>K15/1000000*Model_Prices!$C$9</f>
        <v>1.0023367014343147E-2</v>
      </c>
      <c r="E15" s="7">
        <v>2136.1075000000001</v>
      </c>
      <c r="F15" s="7">
        <v>285.72653061224491</v>
      </c>
      <c r="G15" s="7">
        <v>4.2420045083737108</v>
      </c>
      <c r="H15" s="7">
        <v>2857.17</v>
      </c>
      <c r="I15" s="7">
        <f>E15+H15</f>
        <v>4993.2775000000001</v>
      </c>
      <c r="J15" s="7">
        <f>H15+L15</f>
        <v>2875.5760071715731</v>
      </c>
      <c r="K15" s="7">
        <f>E15+J15</f>
        <v>5011.6835071715732</v>
      </c>
      <c r="L15" s="7">
        <v>18.406007171573091</v>
      </c>
      <c r="M15" s="7">
        <v>4993.2775000000001</v>
      </c>
      <c r="N15" s="7">
        <f>ROUND(I15-M15,9)</f>
        <v>0</v>
      </c>
      <c r="O15" s="8" t="s">
        <v>29</v>
      </c>
    </row>
    <row r="16" spans="1:15" ht="29" customHeight="1">
      <c r="A16" s="1" t="s">
        <v>38</v>
      </c>
      <c r="B16" s="6">
        <f>C16*100</f>
        <v>1.0052189999999999</v>
      </c>
      <c r="C16" s="6">
        <f>I16/1000000*Model_Prices!$C$9</f>
        <v>1.0052189999999999E-2</v>
      </c>
      <c r="D16" s="6">
        <f>K16/1000000*Model_Prices!$C$9</f>
        <v>1.0095313768098345E-2</v>
      </c>
      <c r="E16" s="7">
        <v>2175.5825</v>
      </c>
      <c r="F16" s="7">
        <v>284.97142857142859</v>
      </c>
      <c r="G16" s="7">
        <v>6.5211743026631552</v>
      </c>
      <c r="H16" s="7">
        <v>2850.5124999999998</v>
      </c>
      <c r="I16" s="7">
        <f>E16+H16</f>
        <v>5026.0949999999993</v>
      </c>
      <c r="J16" s="7">
        <f>H16+L16</f>
        <v>2872.0743840491732</v>
      </c>
      <c r="K16" s="7">
        <f>E16+J16</f>
        <v>5047.6568840491727</v>
      </c>
      <c r="L16" s="7">
        <v>21.56188404917344</v>
      </c>
      <c r="M16" s="7">
        <v>5026.0950000000003</v>
      </c>
      <c r="N16" s="7">
        <f>ROUND(I16-M16,9)</f>
        <v>0</v>
      </c>
      <c r="O16" s="8" t="s">
        <v>29</v>
      </c>
    </row>
    <row r="17" spans="1:15" ht="58" customHeight="1">
      <c r="A17" s="1" t="s">
        <v>39</v>
      </c>
      <c r="B17" s="6" t="s">
        <v>33</v>
      </c>
      <c r="C17" s="6" t="s">
        <v>33</v>
      </c>
      <c r="D17" s="6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7" t="s">
        <v>33</v>
      </c>
      <c r="M17" s="7" t="s">
        <v>33</v>
      </c>
      <c r="N17" s="7" t="s">
        <v>33</v>
      </c>
      <c r="O17" s="9" t="s">
        <v>34</v>
      </c>
    </row>
    <row r="18" spans="1:15" ht="29" customHeight="1">
      <c r="A18" s="1" t="s">
        <v>40</v>
      </c>
      <c r="B18" s="6">
        <f>C18*100</f>
        <v>0.46335159817351596</v>
      </c>
      <c r="C18" s="6">
        <f>I18/1000000*Model_Prices!$C$9</f>
        <v>4.6335159817351597E-3</v>
      </c>
      <c r="D18" s="6">
        <f>K18/1000000*Model_Prices!$C$9</f>
        <v>4.6639952077018624E-3</v>
      </c>
      <c r="E18" s="7">
        <v>1359.3515981735161</v>
      </c>
      <c r="F18" s="7">
        <v>95.808712121212125</v>
      </c>
      <c r="G18" s="7">
        <v>4.9012366876780149</v>
      </c>
      <c r="H18" s="7">
        <v>957.40639269406392</v>
      </c>
      <c r="I18" s="7">
        <f>E18+H18</f>
        <v>2316.7579908675798</v>
      </c>
      <c r="J18" s="7">
        <f>H18+L18</f>
        <v>972.64600567741491</v>
      </c>
      <c r="K18" s="7">
        <f>E18+J18</f>
        <v>2331.9976038509312</v>
      </c>
      <c r="L18" s="7">
        <v>15.239612983351019</v>
      </c>
      <c r="M18" s="7">
        <v>2316.7579908675798</v>
      </c>
      <c r="N18" s="7">
        <f>ROUND(I18-M18,9)</f>
        <v>0</v>
      </c>
      <c r="O18" s="8" t="s">
        <v>29</v>
      </c>
    </row>
    <row r="19" spans="1:15" ht="29" customHeight="1">
      <c r="A19" s="1" t="s">
        <v>41</v>
      </c>
      <c r="B19" s="6">
        <f>C19*100</f>
        <v>0.28496374184191448</v>
      </c>
      <c r="C19" s="6">
        <f>I19/1000000*Model_Prices!$C$9</f>
        <v>2.8496374184191447E-3</v>
      </c>
      <c r="D19" s="6">
        <f>K19/1000000*Model_Prices!$C$9</f>
        <v>2.8588431929040784E-3</v>
      </c>
      <c r="E19" s="7">
        <v>939.26178390137784</v>
      </c>
      <c r="F19" s="7">
        <v>48.595473833097593</v>
      </c>
      <c r="G19" s="7">
        <v>1.4243316585835759</v>
      </c>
      <c r="H19" s="7">
        <v>485.55692530819442</v>
      </c>
      <c r="I19" s="7">
        <f>E19+H19</f>
        <v>1424.8187092095723</v>
      </c>
      <c r="J19" s="7">
        <f>H19+L19</f>
        <v>490.15981255066134</v>
      </c>
      <c r="K19" s="7">
        <f>E19+J19</f>
        <v>1429.4215964520392</v>
      </c>
      <c r="L19" s="7">
        <v>4.6028872424669416</v>
      </c>
      <c r="M19" s="7">
        <v>1424.818709209572</v>
      </c>
      <c r="N19" s="7">
        <f>ROUND(I19-M19,9)</f>
        <v>0</v>
      </c>
      <c r="O19" s="8" t="s">
        <v>29</v>
      </c>
    </row>
    <row r="20" spans="1:15" ht="29" customHeight="1">
      <c r="A20" s="1" t="s">
        <v>42</v>
      </c>
      <c r="B20" s="6">
        <f>C20*100</f>
        <v>0.34268907563025214</v>
      </c>
      <c r="C20" s="6">
        <f>I20/1000000*Model_Prices!$C$9</f>
        <v>3.4268907563025212E-3</v>
      </c>
      <c r="D20" s="6">
        <f>K20/1000000*Model_Prices!$C$9</f>
        <v>3.5792592537956616E-3</v>
      </c>
      <c r="E20" s="7">
        <v>948.93277310924373</v>
      </c>
      <c r="F20" s="7">
        <v>76.921727395411608</v>
      </c>
      <c r="G20" s="7">
        <v>9.1109120401686159</v>
      </c>
      <c r="H20" s="7">
        <v>764.51260504201684</v>
      </c>
      <c r="I20" s="7">
        <f>E20+H20</f>
        <v>1713.4453781512607</v>
      </c>
      <c r="J20" s="7">
        <f>H20+L20</f>
        <v>840.69685378858719</v>
      </c>
      <c r="K20" s="7">
        <f>E20+J20</f>
        <v>1789.6296268978308</v>
      </c>
      <c r="L20" s="7">
        <v>76.184248746570333</v>
      </c>
      <c r="M20" s="7">
        <v>1713.44537815126</v>
      </c>
      <c r="N20" s="7">
        <f>ROUND(I20-M20,9)</f>
        <v>0</v>
      </c>
      <c r="O20" s="8" t="s">
        <v>29</v>
      </c>
    </row>
    <row r="21" spans="1:15" ht="58" customHeight="1">
      <c r="A21" s="1" t="s">
        <v>43</v>
      </c>
      <c r="B21" s="6" t="s">
        <v>33</v>
      </c>
      <c r="C21" s="6" t="s">
        <v>33</v>
      </c>
      <c r="D21" s="6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9" t="s">
        <v>34</v>
      </c>
    </row>
    <row r="22" spans="1:15" ht="58" customHeight="1">
      <c r="A22" s="1" t="s">
        <v>44</v>
      </c>
      <c r="B22" s="6" t="s">
        <v>33</v>
      </c>
      <c r="C22" s="6" t="s">
        <v>33</v>
      </c>
      <c r="D22" s="6" t="s">
        <v>33</v>
      </c>
      <c r="E22" s="7" t="s">
        <v>33</v>
      </c>
      <c r="F22" s="7" t="s">
        <v>33</v>
      </c>
      <c r="G22" s="7" t="s">
        <v>33</v>
      </c>
      <c r="H22" s="7" t="s">
        <v>33</v>
      </c>
      <c r="I22" s="7" t="s">
        <v>33</v>
      </c>
      <c r="J22" s="7" t="s">
        <v>33</v>
      </c>
      <c r="K22" s="7" t="s">
        <v>33</v>
      </c>
      <c r="L22" s="7" t="s">
        <v>33</v>
      </c>
      <c r="M22" s="7" t="s">
        <v>33</v>
      </c>
      <c r="N22" s="7" t="s">
        <v>33</v>
      </c>
      <c r="O22" s="9" t="s">
        <v>34</v>
      </c>
    </row>
    <row r="23" spans="1:15" ht="58" customHeight="1">
      <c r="A23" s="1" t="s">
        <v>45</v>
      </c>
      <c r="B23" s="6" t="s">
        <v>33</v>
      </c>
      <c r="C23" s="6" t="s">
        <v>33</v>
      </c>
      <c r="D23" s="6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9" t="s">
        <v>34</v>
      </c>
    </row>
    <row r="24" spans="1:15" ht="58" customHeight="1">
      <c r="A24" s="1" t="s">
        <v>46</v>
      </c>
      <c r="B24" s="6" t="s">
        <v>33</v>
      </c>
      <c r="C24" s="6" t="s">
        <v>33</v>
      </c>
      <c r="D24" s="6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  <c r="N24" s="7" t="s">
        <v>33</v>
      </c>
      <c r="O24" s="9" t="s">
        <v>34</v>
      </c>
    </row>
    <row r="25" spans="1:15" ht="58" customHeight="1">
      <c r="A25" s="1" t="s">
        <v>47</v>
      </c>
      <c r="B25" s="6" t="s">
        <v>33</v>
      </c>
      <c r="C25" s="6" t="s">
        <v>33</v>
      </c>
      <c r="D25" s="6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7" t="s">
        <v>33</v>
      </c>
      <c r="M25" s="7" t="s">
        <v>33</v>
      </c>
      <c r="N25" s="7" t="s">
        <v>33</v>
      </c>
      <c r="O25" s="9" t="s">
        <v>34</v>
      </c>
    </row>
    <row r="26" spans="1:15" ht="29" customHeight="1">
      <c r="A26" s="1" t="s">
        <v>48</v>
      </c>
      <c r="B26" s="6">
        <f>C26*100</f>
        <v>1.2434000000000001</v>
      </c>
      <c r="C26" s="6">
        <f>I26/1000000*Model_Prices!$C$9</f>
        <v>1.2434000000000001E-2</v>
      </c>
      <c r="D26" s="6">
        <f>K26/1000000*Model_Prices!$C$9</f>
        <v>1.2434000000000001E-2</v>
      </c>
      <c r="E26" s="7">
        <v>1127</v>
      </c>
      <c r="F26" s="7">
        <v>509</v>
      </c>
      <c r="G26" s="7">
        <v>0</v>
      </c>
      <c r="H26" s="7">
        <v>5090</v>
      </c>
      <c r="I26" s="7">
        <f>E26+H26</f>
        <v>6217</v>
      </c>
      <c r="J26" s="7">
        <f>H26+L26</f>
        <v>5090</v>
      </c>
      <c r="K26" s="7">
        <f>E26+J26</f>
        <v>6217</v>
      </c>
      <c r="L26" s="7">
        <v>0</v>
      </c>
      <c r="M26" s="7">
        <v>6217</v>
      </c>
      <c r="N26" s="7">
        <f>ROUND(I26-M26,9)</f>
        <v>0</v>
      </c>
      <c r="O26" s="8" t="s">
        <v>29</v>
      </c>
    </row>
    <row r="27" spans="1:15" ht="58" customHeight="1">
      <c r="A27" s="1" t="s">
        <v>49</v>
      </c>
      <c r="B27" s="6" t="s">
        <v>33</v>
      </c>
      <c r="C27" s="6" t="s">
        <v>33</v>
      </c>
      <c r="D27" s="6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33</v>
      </c>
      <c r="L27" s="7" t="s">
        <v>33</v>
      </c>
      <c r="M27" s="7" t="s">
        <v>33</v>
      </c>
      <c r="N27" s="7" t="s">
        <v>33</v>
      </c>
      <c r="O27" s="9" t="s">
        <v>34</v>
      </c>
    </row>
    <row r="28" spans="1:15" ht="58" customHeight="1">
      <c r="A28" s="1" t="s">
        <v>50</v>
      </c>
      <c r="B28" s="6" t="s">
        <v>33</v>
      </c>
      <c r="C28" s="6" t="s">
        <v>33</v>
      </c>
      <c r="D28" s="6" t="s">
        <v>33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7" t="s">
        <v>33</v>
      </c>
      <c r="M28" s="7" t="s">
        <v>33</v>
      </c>
      <c r="N28" s="7" t="s">
        <v>33</v>
      </c>
      <c r="O28" s="9" t="s">
        <v>34</v>
      </c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6" customHeight="1">
      <c r="A32" s="4" t="s">
        <v>13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4" t="s">
        <v>57</v>
      </c>
      <c r="I32" s="4" t="s">
        <v>58</v>
      </c>
      <c r="J32" s="4" t="s">
        <v>59</v>
      </c>
      <c r="K32" s="1"/>
      <c r="L32" s="1"/>
      <c r="M32" s="1"/>
      <c r="N32" s="1"/>
      <c r="O32" s="1"/>
    </row>
    <row r="33" spans="1:15">
      <c r="A33" s="1" t="s">
        <v>28</v>
      </c>
      <c r="B33" s="1">
        <v>1</v>
      </c>
      <c r="C33" s="1">
        <v>0</v>
      </c>
      <c r="D33" s="1">
        <v>394</v>
      </c>
      <c r="E33" s="1">
        <v>394</v>
      </c>
      <c r="F33" s="1">
        <v>5</v>
      </c>
      <c r="G33" s="1">
        <v>5</v>
      </c>
      <c r="H33" s="1">
        <v>5</v>
      </c>
      <c r="I33" s="1">
        <v>0</v>
      </c>
      <c r="J33" s="1">
        <v>1.717117156553631</v>
      </c>
      <c r="K33" s="1"/>
      <c r="L33" s="1"/>
      <c r="M33" s="1"/>
      <c r="N33" s="1"/>
      <c r="O33" s="1"/>
    </row>
    <row r="34" spans="1:15">
      <c r="A34" s="1" t="s">
        <v>28</v>
      </c>
      <c r="B34" s="1">
        <v>10</v>
      </c>
      <c r="C34" s="1">
        <v>9</v>
      </c>
      <c r="D34" s="1">
        <v>349</v>
      </c>
      <c r="E34" s="1">
        <v>349</v>
      </c>
      <c r="F34" s="1">
        <v>5</v>
      </c>
      <c r="G34" s="1">
        <v>5</v>
      </c>
      <c r="H34" s="1">
        <v>5</v>
      </c>
      <c r="I34" s="1">
        <v>0</v>
      </c>
      <c r="J34" s="1">
        <v>1.8034831001931579</v>
      </c>
      <c r="K34" s="1"/>
      <c r="L34" s="1"/>
      <c r="M34" s="1"/>
      <c r="N34" s="1"/>
      <c r="O34" s="1"/>
    </row>
    <row r="35" spans="1:15">
      <c r="A35" s="1" t="s">
        <v>30</v>
      </c>
      <c r="B35" s="1">
        <v>1</v>
      </c>
      <c r="C35" s="1">
        <v>0</v>
      </c>
      <c r="D35" s="1">
        <v>1031</v>
      </c>
      <c r="E35" s="1">
        <v>1031</v>
      </c>
      <c r="F35" s="1">
        <v>10</v>
      </c>
      <c r="G35" s="1">
        <v>10</v>
      </c>
      <c r="H35" s="1">
        <v>10</v>
      </c>
      <c r="I35" s="1">
        <v>0</v>
      </c>
      <c r="J35" s="1">
        <v>1.0750751251067061</v>
      </c>
      <c r="K35" s="1"/>
      <c r="L35" s="1"/>
      <c r="M35" s="1"/>
      <c r="N35" s="1"/>
      <c r="O35" s="1"/>
    </row>
    <row r="36" spans="1:15">
      <c r="A36" s="1" t="s">
        <v>30</v>
      </c>
      <c r="B36" s="1">
        <v>10</v>
      </c>
      <c r="C36" s="1">
        <v>9</v>
      </c>
      <c r="D36" s="1">
        <v>941</v>
      </c>
      <c r="E36" s="1">
        <v>941</v>
      </c>
      <c r="F36" s="1">
        <v>10</v>
      </c>
      <c r="G36" s="1">
        <v>10</v>
      </c>
      <c r="H36" s="1">
        <v>10</v>
      </c>
      <c r="I36" s="1">
        <v>0</v>
      </c>
      <c r="J36" s="1">
        <v>1.100493709153624</v>
      </c>
      <c r="K36" s="1"/>
      <c r="L36" s="1"/>
      <c r="M36" s="1"/>
      <c r="N36" s="1"/>
      <c r="O36" s="1"/>
    </row>
    <row r="37" spans="1:15">
      <c r="A37" s="1" t="s">
        <v>31</v>
      </c>
      <c r="B37" s="1">
        <v>1</v>
      </c>
      <c r="C37" s="1">
        <v>0</v>
      </c>
      <c r="D37" s="1">
        <v>1990</v>
      </c>
      <c r="E37" s="1">
        <v>1990</v>
      </c>
      <c r="F37" s="1">
        <v>10</v>
      </c>
      <c r="G37" s="1">
        <v>10</v>
      </c>
      <c r="H37" s="1">
        <v>10</v>
      </c>
      <c r="I37" s="1">
        <v>0</v>
      </c>
      <c r="J37" s="1">
        <v>1.0790623925796039</v>
      </c>
      <c r="K37" s="1"/>
      <c r="L37" s="1"/>
      <c r="M37" s="1"/>
      <c r="N37" s="1"/>
      <c r="O37" s="1"/>
    </row>
    <row r="38" spans="1:15">
      <c r="A38" s="1" t="s">
        <v>31</v>
      </c>
      <c r="B38" s="1">
        <v>10</v>
      </c>
      <c r="C38" s="1">
        <v>9</v>
      </c>
      <c r="D38" s="1">
        <v>1900</v>
      </c>
      <c r="E38" s="1">
        <v>1900</v>
      </c>
      <c r="F38" s="1">
        <v>10</v>
      </c>
      <c r="G38" s="1">
        <v>10</v>
      </c>
      <c r="H38" s="1">
        <v>10</v>
      </c>
      <c r="I38" s="1">
        <v>0</v>
      </c>
      <c r="J38" s="1">
        <v>1.084194557879341</v>
      </c>
      <c r="K38" s="1"/>
      <c r="L38" s="1"/>
      <c r="M38" s="1"/>
      <c r="N38" s="1"/>
      <c r="O38" s="1"/>
    </row>
    <row r="39" spans="1:15">
      <c r="A39" s="1" t="s">
        <v>32</v>
      </c>
      <c r="B39" s="1">
        <v>1</v>
      </c>
      <c r="C39" s="1">
        <v>0</v>
      </c>
      <c r="D39" s="1" t="s">
        <v>33</v>
      </c>
      <c r="E39" s="1" t="s">
        <v>33</v>
      </c>
      <c r="F39" s="1" t="s">
        <v>33</v>
      </c>
      <c r="G39" s="1" t="s">
        <v>33</v>
      </c>
      <c r="H39" s="1">
        <v>2</v>
      </c>
      <c r="I39" s="1">
        <v>0</v>
      </c>
      <c r="J39" s="1" t="s">
        <v>33</v>
      </c>
      <c r="K39" s="1"/>
      <c r="L39" s="1"/>
      <c r="M39" s="1"/>
      <c r="N39" s="1"/>
      <c r="O39" s="1"/>
    </row>
    <row r="40" spans="1:15">
      <c r="A40" s="1" t="s">
        <v>32</v>
      </c>
      <c r="B40" s="1">
        <v>10</v>
      </c>
      <c r="C40" s="1">
        <v>9</v>
      </c>
      <c r="D40" s="1" t="s">
        <v>33</v>
      </c>
      <c r="E40" s="1" t="s">
        <v>33</v>
      </c>
      <c r="F40" s="1" t="s">
        <v>33</v>
      </c>
      <c r="G40" s="1" t="s">
        <v>33</v>
      </c>
      <c r="H40" s="1">
        <v>2</v>
      </c>
      <c r="I40" s="1">
        <v>0</v>
      </c>
      <c r="J40" s="1" t="s">
        <v>33</v>
      </c>
      <c r="K40" s="1"/>
      <c r="L40" s="1"/>
      <c r="M40" s="1"/>
      <c r="N40" s="1"/>
      <c r="O40" s="1"/>
    </row>
    <row r="41" spans="1:15">
      <c r="A41" s="1" t="s">
        <v>35</v>
      </c>
      <c r="B41" s="1">
        <v>1</v>
      </c>
      <c r="C41" s="1">
        <v>0</v>
      </c>
      <c r="D41" s="1">
        <v>2495</v>
      </c>
      <c r="E41" s="1">
        <v>2495</v>
      </c>
      <c r="F41" s="1">
        <v>5</v>
      </c>
      <c r="G41" s="1">
        <v>5</v>
      </c>
      <c r="H41" s="1">
        <v>5</v>
      </c>
      <c r="I41" s="1">
        <v>0</v>
      </c>
      <c r="J41" s="1">
        <v>1.395348401172257</v>
      </c>
      <c r="K41" s="1"/>
      <c r="L41" s="1"/>
      <c r="M41" s="1"/>
      <c r="N41" s="1"/>
      <c r="O41" s="1"/>
    </row>
    <row r="42" spans="1:15">
      <c r="A42" s="1" t="s">
        <v>35</v>
      </c>
      <c r="B42" s="1">
        <v>10</v>
      </c>
      <c r="C42" s="1">
        <v>9</v>
      </c>
      <c r="D42" s="1">
        <v>2450</v>
      </c>
      <c r="E42" s="1">
        <v>2450</v>
      </c>
      <c r="F42" s="1">
        <v>5</v>
      </c>
      <c r="G42" s="1">
        <v>5</v>
      </c>
      <c r="H42" s="1">
        <v>5</v>
      </c>
      <c r="I42" s="1">
        <v>0</v>
      </c>
      <c r="J42" s="1">
        <v>1.3814041953825129</v>
      </c>
      <c r="K42" s="1"/>
      <c r="L42" s="1"/>
      <c r="M42" s="1"/>
      <c r="N42" s="1"/>
      <c r="O42" s="1"/>
    </row>
    <row r="43" spans="1:15">
      <c r="A43" s="1" t="s">
        <v>36</v>
      </c>
      <c r="B43" s="1">
        <v>1</v>
      </c>
      <c r="C43" s="1">
        <v>0</v>
      </c>
      <c r="D43" s="1">
        <v>490</v>
      </c>
      <c r="E43" s="1">
        <v>490</v>
      </c>
      <c r="F43" s="1">
        <v>10</v>
      </c>
      <c r="G43" s="1">
        <v>10</v>
      </c>
      <c r="H43" s="1">
        <v>10</v>
      </c>
      <c r="I43" s="1">
        <v>0</v>
      </c>
      <c r="J43" s="1">
        <v>7.2467261274900654</v>
      </c>
      <c r="K43" s="1"/>
      <c r="L43" s="1"/>
      <c r="M43" s="1"/>
      <c r="N43" s="1"/>
      <c r="O43" s="1"/>
    </row>
    <row r="44" spans="1:15">
      <c r="A44" s="1" t="s">
        <v>36</v>
      </c>
      <c r="B44" s="1">
        <v>10</v>
      </c>
      <c r="C44" s="1">
        <v>9</v>
      </c>
      <c r="D44" s="1">
        <v>400</v>
      </c>
      <c r="E44" s="1">
        <v>400</v>
      </c>
      <c r="F44" s="1">
        <v>10</v>
      </c>
      <c r="G44" s="1">
        <v>10</v>
      </c>
      <c r="H44" s="1">
        <v>10</v>
      </c>
      <c r="I44" s="1">
        <v>0</v>
      </c>
      <c r="J44" s="1">
        <v>1.9407215153133131</v>
      </c>
      <c r="K44" s="1"/>
      <c r="L44" s="1"/>
      <c r="M44" s="1"/>
      <c r="N44" s="1"/>
      <c r="O44" s="1"/>
    </row>
    <row r="45" spans="1:15">
      <c r="A45" s="1" t="s">
        <v>37</v>
      </c>
      <c r="B45" s="1">
        <v>1</v>
      </c>
      <c r="C45" s="1">
        <v>0</v>
      </c>
      <c r="D45" s="1">
        <v>490</v>
      </c>
      <c r="E45" s="1">
        <v>490</v>
      </c>
      <c r="F45" s="1">
        <v>10</v>
      </c>
      <c r="G45" s="1">
        <v>10</v>
      </c>
      <c r="H45" s="1">
        <v>10</v>
      </c>
      <c r="I45" s="1">
        <v>0</v>
      </c>
      <c r="J45" s="1">
        <v>3.9827412969252811</v>
      </c>
      <c r="K45" s="1"/>
      <c r="L45" s="1"/>
      <c r="M45" s="1"/>
      <c r="N45" s="1"/>
      <c r="O45" s="1"/>
    </row>
    <row r="46" spans="1:15">
      <c r="A46" s="1" t="s">
        <v>37</v>
      </c>
      <c r="B46" s="1">
        <v>10</v>
      </c>
      <c r="C46" s="1">
        <v>9</v>
      </c>
      <c r="D46" s="1">
        <v>400</v>
      </c>
      <c r="E46" s="1">
        <v>400</v>
      </c>
      <c r="F46" s="1">
        <v>10</v>
      </c>
      <c r="G46" s="1">
        <v>10</v>
      </c>
      <c r="H46" s="1">
        <v>10</v>
      </c>
      <c r="I46" s="1">
        <v>0</v>
      </c>
      <c r="J46" s="1">
        <v>4.3290811669452447</v>
      </c>
      <c r="K46" s="1"/>
      <c r="L46" s="1"/>
      <c r="M46" s="1"/>
      <c r="N46" s="1"/>
      <c r="O46" s="1"/>
    </row>
    <row r="47" spans="1:15">
      <c r="A47" s="1" t="s">
        <v>38</v>
      </c>
      <c r="B47" s="1">
        <v>1</v>
      </c>
      <c r="C47" s="1">
        <v>0</v>
      </c>
      <c r="D47" s="1">
        <v>490</v>
      </c>
      <c r="E47" s="1">
        <v>490</v>
      </c>
      <c r="F47" s="1">
        <v>10</v>
      </c>
      <c r="G47" s="1">
        <v>10</v>
      </c>
      <c r="H47" s="1">
        <v>10</v>
      </c>
      <c r="I47" s="1">
        <v>0</v>
      </c>
      <c r="J47" s="1">
        <v>6.3690869548207196</v>
      </c>
      <c r="K47" s="1"/>
      <c r="L47" s="1"/>
      <c r="M47" s="1"/>
      <c r="N47" s="1"/>
      <c r="O47" s="1"/>
    </row>
    <row r="48" spans="1:15">
      <c r="A48" s="1" t="s">
        <v>38</v>
      </c>
      <c r="B48" s="1">
        <v>10</v>
      </c>
      <c r="C48" s="1">
        <v>9</v>
      </c>
      <c r="D48" s="1">
        <v>400</v>
      </c>
      <c r="E48" s="1">
        <v>400</v>
      </c>
      <c r="F48" s="1">
        <v>10</v>
      </c>
      <c r="G48" s="1">
        <v>10</v>
      </c>
      <c r="H48" s="1">
        <v>10</v>
      </c>
      <c r="I48" s="1">
        <v>0</v>
      </c>
      <c r="J48" s="1">
        <v>1.4415941696607959</v>
      </c>
      <c r="K48" s="1"/>
      <c r="L48" s="1"/>
      <c r="M48" s="1"/>
      <c r="N48" s="1"/>
      <c r="O48" s="1"/>
    </row>
    <row r="49" spans="1:15">
      <c r="A49" s="1" t="s">
        <v>39</v>
      </c>
      <c r="B49" s="1">
        <v>1</v>
      </c>
      <c r="C49" s="1">
        <v>0</v>
      </c>
      <c r="D49" s="1" t="s">
        <v>33</v>
      </c>
      <c r="E49" s="1" t="s">
        <v>33</v>
      </c>
      <c r="F49" s="1" t="s">
        <v>33</v>
      </c>
      <c r="G49" s="1" t="s">
        <v>33</v>
      </c>
      <c r="H49" s="1">
        <v>3</v>
      </c>
      <c r="I49" s="1">
        <v>0</v>
      </c>
      <c r="J49" s="1" t="s">
        <v>33</v>
      </c>
      <c r="K49" s="1"/>
      <c r="L49" s="1"/>
      <c r="M49" s="1"/>
      <c r="N49" s="1"/>
      <c r="O49" s="1"/>
    </row>
    <row r="50" spans="1:15">
      <c r="A50" s="1" t="s">
        <v>39</v>
      </c>
      <c r="B50" s="1">
        <v>10</v>
      </c>
      <c r="C50" s="1">
        <v>9</v>
      </c>
      <c r="D50" s="1" t="s">
        <v>33</v>
      </c>
      <c r="E50" s="1" t="s">
        <v>33</v>
      </c>
      <c r="F50" s="1" t="s">
        <v>33</v>
      </c>
      <c r="G50" s="1" t="s">
        <v>33</v>
      </c>
      <c r="H50" s="1">
        <v>3</v>
      </c>
      <c r="I50" s="1">
        <v>0</v>
      </c>
      <c r="J50" s="1" t="s">
        <v>33</v>
      </c>
      <c r="K50" s="1"/>
      <c r="L50" s="1"/>
      <c r="M50" s="1"/>
      <c r="N50" s="1"/>
      <c r="O50" s="1"/>
    </row>
    <row r="51" spans="1:15">
      <c r="A51" s="1" t="s">
        <v>40</v>
      </c>
      <c r="B51" s="1">
        <v>1</v>
      </c>
      <c r="C51" s="1">
        <v>0</v>
      </c>
      <c r="D51" s="1">
        <v>528</v>
      </c>
      <c r="E51" s="1">
        <v>528</v>
      </c>
      <c r="F51" s="1">
        <v>10</v>
      </c>
      <c r="G51" s="1">
        <v>10</v>
      </c>
      <c r="H51" s="1">
        <v>10</v>
      </c>
      <c r="I51" s="1">
        <v>0</v>
      </c>
      <c r="J51" s="1">
        <v>4.1107573879761787</v>
      </c>
      <c r="K51" s="1"/>
      <c r="L51" s="1"/>
      <c r="M51" s="1"/>
      <c r="N51" s="1"/>
      <c r="O51" s="1"/>
    </row>
    <row r="52" spans="1:15">
      <c r="A52" s="1" t="s">
        <v>40</v>
      </c>
      <c r="B52" s="1">
        <v>10</v>
      </c>
      <c r="C52" s="1">
        <v>9</v>
      </c>
      <c r="D52" s="1">
        <v>438</v>
      </c>
      <c r="E52" s="1">
        <v>438</v>
      </c>
      <c r="F52" s="1">
        <v>10</v>
      </c>
      <c r="G52" s="1">
        <v>10</v>
      </c>
      <c r="H52" s="1">
        <v>10</v>
      </c>
      <c r="I52" s="1">
        <v>0</v>
      </c>
      <c r="J52" s="1">
        <v>4.1473581515975004</v>
      </c>
      <c r="K52" s="1"/>
      <c r="L52" s="1"/>
      <c r="M52" s="1"/>
      <c r="N52" s="1"/>
      <c r="O52" s="1"/>
    </row>
    <row r="53" spans="1:15">
      <c r="A53" s="1" t="s">
        <v>41</v>
      </c>
      <c r="B53" s="1">
        <v>1</v>
      </c>
      <c r="C53" s="1">
        <v>0</v>
      </c>
      <c r="D53" s="1">
        <v>1414</v>
      </c>
      <c r="E53" s="1">
        <v>1414</v>
      </c>
      <c r="F53" s="1">
        <v>5</v>
      </c>
      <c r="G53" s="1">
        <v>5</v>
      </c>
      <c r="H53" s="1">
        <v>5</v>
      </c>
      <c r="I53" s="1">
        <v>0</v>
      </c>
      <c r="J53" s="1">
        <v>1.0522247228676771</v>
      </c>
      <c r="K53" s="1"/>
      <c r="L53" s="1"/>
      <c r="M53" s="1"/>
      <c r="N53" s="1"/>
      <c r="O53" s="1"/>
    </row>
    <row r="54" spans="1:15">
      <c r="A54" s="1" t="s">
        <v>41</v>
      </c>
      <c r="B54" s="1">
        <v>10</v>
      </c>
      <c r="C54" s="1">
        <v>9</v>
      </c>
      <c r="D54" s="1">
        <v>1379</v>
      </c>
      <c r="E54" s="1">
        <v>1379</v>
      </c>
      <c r="F54" s="1">
        <v>3</v>
      </c>
      <c r="G54" s="1">
        <v>3</v>
      </c>
      <c r="H54" s="1">
        <v>5</v>
      </c>
      <c r="I54" s="1">
        <v>0</v>
      </c>
      <c r="J54" s="1">
        <v>1.054186725909521</v>
      </c>
      <c r="K54" s="1"/>
      <c r="L54" s="1"/>
      <c r="M54" s="1"/>
      <c r="N54" s="1"/>
      <c r="O54" s="1"/>
    </row>
    <row r="55" spans="1:15">
      <c r="A55" s="1" t="s">
        <v>42</v>
      </c>
      <c r="B55" s="1">
        <v>1</v>
      </c>
      <c r="C55" s="1">
        <v>0</v>
      </c>
      <c r="D55" s="1">
        <v>741</v>
      </c>
      <c r="E55" s="1">
        <v>741</v>
      </c>
      <c r="F55" s="1">
        <v>3</v>
      </c>
      <c r="G55" s="1">
        <v>3</v>
      </c>
      <c r="H55" s="1">
        <v>3</v>
      </c>
      <c r="I55" s="1">
        <v>0</v>
      </c>
      <c r="J55" s="1">
        <v>8.7571872376841799</v>
      </c>
      <c r="K55" s="1"/>
      <c r="L55" s="1"/>
      <c r="M55" s="1"/>
      <c r="N55" s="1"/>
      <c r="O55" s="1"/>
    </row>
    <row r="56" spans="1:15">
      <c r="A56" s="1" t="s">
        <v>42</v>
      </c>
      <c r="B56" s="1">
        <v>10</v>
      </c>
      <c r="C56" s="1">
        <v>9</v>
      </c>
      <c r="D56" s="1">
        <v>714</v>
      </c>
      <c r="E56" s="1">
        <v>714</v>
      </c>
      <c r="F56" s="1">
        <v>3</v>
      </c>
      <c r="G56" s="1">
        <v>3</v>
      </c>
      <c r="H56" s="1">
        <v>3</v>
      </c>
      <c r="I56" s="1">
        <v>0</v>
      </c>
      <c r="J56" s="1">
        <v>8.690505871919374</v>
      </c>
      <c r="K56" s="1"/>
      <c r="L56" s="1"/>
      <c r="M56" s="1"/>
      <c r="N56" s="1"/>
      <c r="O56" s="1"/>
    </row>
    <row r="57" spans="1:15">
      <c r="A57" s="1" t="s">
        <v>43</v>
      </c>
      <c r="B57" s="1">
        <v>1</v>
      </c>
      <c r="C57" s="1">
        <v>0</v>
      </c>
      <c r="D57" s="1" t="s">
        <v>33</v>
      </c>
      <c r="E57" s="1" t="s">
        <v>33</v>
      </c>
      <c r="F57" s="1" t="s">
        <v>33</v>
      </c>
      <c r="G57" s="1" t="s">
        <v>33</v>
      </c>
      <c r="H57" s="1">
        <v>24</v>
      </c>
      <c r="I57" s="1">
        <v>0</v>
      </c>
      <c r="J57" s="1" t="s">
        <v>33</v>
      </c>
      <c r="K57" s="1"/>
      <c r="L57" s="1"/>
      <c r="M57" s="1"/>
      <c r="N57" s="1"/>
      <c r="O57" s="1"/>
    </row>
    <row r="58" spans="1:15">
      <c r="A58" s="1" t="s">
        <v>43</v>
      </c>
      <c r="B58" s="1">
        <v>10</v>
      </c>
      <c r="C58" s="1">
        <v>9</v>
      </c>
      <c r="D58" s="1" t="s">
        <v>33</v>
      </c>
      <c r="E58" s="1" t="s">
        <v>33</v>
      </c>
      <c r="F58" s="1" t="s">
        <v>33</v>
      </c>
      <c r="G58" s="1" t="s">
        <v>33</v>
      </c>
      <c r="H58" s="1">
        <v>24</v>
      </c>
      <c r="I58" s="1">
        <v>0</v>
      </c>
      <c r="J58" s="1" t="s">
        <v>33</v>
      </c>
      <c r="K58" s="1"/>
      <c r="L58" s="1"/>
      <c r="M58" s="1"/>
      <c r="N58" s="1"/>
      <c r="O58" s="1"/>
    </row>
    <row r="59" spans="1:15">
      <c r="A59" s="1" t="s">
        <v>44</v>
      </c>
      <c r="B59" s="1">
        <v>1</v>
      </c>
      <c r="C59" s="1">
        <v>0</v>
      </c>
      <c r="D59" s="1" t="s">
        <v>33</v>
      </c>
      <c r="E59" s="1" t="s">
        <v>33</v>
      </c>
      <c r="F59" s="1" t="s">
        <v>33</v>
      </c>
      <c r="G59" s="1" t="s">
        <v>33</v>
      </c>
      <c r="H59" s="1">
        <v>11</v>
      </c>
      <c r="I59" s="1">
        <v>0</v>
      </c>
      <c r="J59" s="1" t="s">
        <v>33</v>
      </c>
      <c r="K59" s="1"/>
      <c r="L59" s="1"/>
      <c r="M59" s="1"/>
      <c r="N59" s="1"/>
      <c r="O59" s="1"/>
    </row>
    <row r="60" spans="1:15">
      <c r="A60" s="1" t="s">
        <v>44</v>
      </c>
      <c r="B60" s="1">
        <v>10</v>
      </c>
      <c r="C60" s="1">
        <v>9</v>
      </c>
      <c r="D60" s="1" t="s">
        <v>33</v>
      </c>
      <c r="E60" s="1" t="s">
        <v>33</v>
      </c>
      <c r="F60" s="1" t="s">
        <v>33</v>
      </c>
      <c r="G60" s="1" t="s">
        <v>33</v>
      </c>
      <c r="H60" s="1">
        <v>11</v>
      </c>
      <c r="I60" s="1">
        <v>0</v>
      </c>
      <c r="J60" s="1" t="s">
        <v>33</v>
      </c>
      <c r="K60" s="1"/>
      <c r="L60" s="1"/>
      <c r="M60" s="1"/>
      <c r="N60" s="1"/>
      <c r="O60" s="1"/>
    </row>
    <row r="61" spans="1:15">
      <c r="A61" s="1" t="s">
        <v>45</v>
      </c>
      <c r="B61" s="1">
        <v>1</v>
      </c>
      <c r="C61" s="1">
        <v>0</v>
      </c>
      <c r="D61" s="1" t="s">
        <v>33</v>
      </c>
      <c r="E61" s="1" t="s">
        <v>33</v>
      </c>
      <c r="F61" s="1" t="s">
        <v>33</v>
      </c>
      <c r="G61" s="1" t="s">
        <v>33</v>
      </c>
      <c r="H61" s="1">
        <v>17</v>
      </c>
      <c r="I61" s="1">
        <v>0</v>
      </c>
      <c r="J61" s="1" t="s">
        <v>33</v>
      </c>
      <c r="K61" s="1"/>
      <c r="L61" s="1"/>
      <c r="M61" s="1"/>
      <c r="N61" s="1"/>
      <c r="O61" s="1"/>
    </row>
    <row r="62" spans="1:15">
      <c r="A62" s="1" t="s">
        <v>45</v>
      </c>
      <c r="B62" s="1">
        <v>10</v>
      </c>
      <c r="C62" s="1">
        <v>9</v>
      </c>
      <c r="D62" s="1" t="s">
        <v>33</v>
      </c>
      <c r="E62" s="1" t="s">
        <v>33</v>
      </c>
      <c r="F62" s="1" t="s">
        <v>33</v>
      </c>
      <c r="G62" s="1" t="s">
        <v>33</v>
      </c>
      <c r="H62" s="1">
        <v>17</v>
      </c>
      <c r="I62" s="1">
        <v>0</v>
      </c>
      <c r="J62" s="1" t="s">
        <v>33</v>
      </c>
      <c r="K62" s="1"/>
      <c r="L62" s="1"/>
      <c r="M62" s="1"/>
      <c r="N62" s="1"/>
      <c r="O62" s="1"/>
    </row>
    <row r="63" spans="1:15">
      <c r="A63" s="1" t="s">
        <v>46</v>
      </c>
      <c r="B63" s="1">
        <v>1</v>
      </c>
      <c r="C63" s="1">
        <v>0</v>
      </c>
      <c r="D63" s="1" t="s">
        <v>33</v>
      </c>
      <c r="E63" s="1" t="s">
        <v>33</v>
      </c>
      <c r="F63" s="1" t="s">
        <v>33</v>
      </c>
      <c r="G63" s="1" t="s">
        <v>33</v>
      </c>
      <c r="H63" s="1">
        <v>5</v>
      </c>
      <c r="I63" s="1">
        <v>0</v>
      </c>
      <c r="J63" s="1" t="s">
        <v>33</v>
      </c>
      <c r="K63" s="1"/>
      <c r="L63" s="1"/>
      <c r="M63" s="1"/>
      <c r="N63" s="1"/>
      <c r="O63" s="1"/>
    </row>
    <row r="64" spans="1:15">
      <c r="A64" s="1" t="s">
        <v>46</v>
      </c>
      <c r="B64" s="1">
        <v>10</v>
      </c>
      <c r="C64" s="1">
        <v>9</v>
      </c>
      <c r="D64" s="1" t="s">
        <v>33</v>
      </c>
      <c r="E64" s="1" t="s">
        <v>33</v>
      </c>
      <c r="F64" s="1" t="s">
        <v>33</v>
      </c>
      <c r="G64" s="1" t="s">
        <v>33</v>
      </c>
      <c r="H64" s="1">
        <v>5</v>
      </c>
      <c r="I64" s="1">
        <v>0</v>
      </c>
      <c r="J64" s="1" t="s">
        <v>33</v>
      </c>
      <c r="K64" s="1"/>
      <c r="L64" s="1"/>
      <c r="M64" s="1"/>
      <c r="N64" s="1"/>
      <c r="O64" s="1"/>
    </row>
    <row r="65" spans="1:15">
      <c r="A65" s="1" t="s">
        <v>47</v>
      </c>
      <c r="B65" s="1">
        <v>1</v>
      </c>
      <c r="C65" s="1">
        <v>0</v>
      </c>
      <c r="D65" s="1" t="s">
        <v>33</v>
      </c>
      <c r="E65" s="1" t="s">
        <v>33</v>
      </c>
      <c r="F65" s="1" t="s">
        <v>33</v>
      </c>
      <c r="G65" s="1" t="s">
        <v>33</v>
      </c>
      <c r="H65" s="1">
        <v>11</v>
      </c>
      <c r="I65" s="1">
        <v>0</v>
      </c>
      <c r="J65" s="1" t="s">
        <v>33</v>
      </c>
      <c r="K65" s="1"/>
      <c r="L65" s="1"/>
      <c r="M65" s="1"/>
      <c r="N65" s="1"/>
      <c r="O65" s="1"/>
    </row>
    <row r="66" spans="1:15">
      <c r="A66" s="1" t="s">
        <v>47</v>
      </c>
      <c r="B66" s="1">
        <v>10</v>
      </c>
      <c r="C66" s="1">
        <v>9</v>
      </c>
      <c r="D66" s="1" t="s">
        <v>33</v>
      </c>
      <c r="E66" s="1" t="s">
        <v>33</v>
      </c>
      <c r="F66" s="1" t="s">
        <v>33</v>
      </c>
      <c r="G66" s="1" t="s">
        <v>33</v>
      </c>
      <c r="H66" s="1">
        <v>11</v>
      </c>
      <c r="I66" s="1">
        <v>0</v>
      </c>
      <c r="J66" s="1" t="s">
        <v>33</v>
      </c>
      <c r="K66" s="1"/>
      <c r="L66" s="1"/>
      <c r="M66" s="1"/>
      <c r="N66" s="1"/>
      <c r="O66" s="1"/>
    </row>
    <row r="67" spans="1:15">
      <c r="A67" s="1" t="s">
        <v>48</v>
      </c>
      <c r="B67" s="1">
        <v>1</v>
      </c>
      <c r="C67" s="1">
        <v>0</v>
      </c>
      <c r="D67" s="1">
        <v>120</v>
      </c>
      <c r="E67" s="1">
        <v>120</v>
      </c>
      <c r="F67" s="1">
        <v>10</v>
      </c>
      <c r="G67" s="1">
        <v>10</v>
      </c>
      <c r="H67" s="1">
        <v>10</v>
      </c>
      <c r="I67" s="1">
        <v>0</v>
      </c>
      <c r="J67" s="1">
        <v>0</v>
      </c>
      <c r="K67" s="1"/>
      <c r="L67" s="1"/>
      <c r="M67" s="1"/>
      <c r="N67" s="1"/>
      <c r="O67" s="1"/>
    </row>
    <row r="68" spans="1:15">
      <c r="A68" s="1" t="s">
        <v>48</v>
      </c>
      <c r="B68" s="1">
        <v>10</v>
      </c>
      <c r="C68" s="1">
        <v>9</v>
      </c>
      <c r="D68" s="1">
        <v>33</v>
      </c>
      <c r="E68" s="1">
        <v>33</v>
      </c>
      <c r="F68" s="1">
        <v>5</v>
      </c>
      <c r="G68" s="1">
        <v>5</v>
      </c>
      <c r="H68" s="1">
        <v>10</v>
      </c>
      <c r="I68" s="1">
        <v>0</v>
      </c>
      <c r="J68" s="1">
        <v>0</v>
      </c>
      <c r="K68" s="1"/>
      <c r="L68" s="1"/>
      <c r="M68" s="1"/>
      <c r="N68" s="1"/>
      <c r="O68" s="1"/>
    </row>
    <row r="69" spans="1:15">
      <c r="A69" s="1" t="s">
        <v>49</v>
      </c>
      <c r="B69" s="1">
        <v>1</v>
      </c>
      <c r="C69" s="1">
        <v>0</v>
      </c>
      <c r="D69" s="1" t="s">
        <v>33</v>
      </c>
      <c r="E69" s="1" t="s">
        <v>33</v>
      </c>
      <c r="F69" s="1" t="s">
        <v>33</v>
      </c>
      <c r="G69" s="1" t="s">
        <v>33</v>
      </c>
      <c r="H69" s="1">
        <v>6</v>
      </c>
      <c r="I69" s="1">
        <v>0</v>
      </c>
      <c r="J69" s="1" t="s">
        <v>33</v>
      </c>
      <c r="K69" s="1"/>
      <c r="L69" s="1"/>
      <c r="M69" s="1"/>
      <c r="N69" s="1"/>
      <c r="O69" s="1"/>
    </row>
    <row r="70" spans="1:15">
      <c r="A70" s="1" t="s">
        <v>49</v>
      </c>
      <c r="B70" s="1">
        <v>10</v>
      </c>
      <c r="C70" s="1">
        <v>9</v>
      </c>
      <c r="D70" s="1" t="s">
        <v>33</v>
      </c>
      <c r="E70" s="1" t="s">
        <v>33</v>
      </c>
      <c r="F70" s="1" t="s">
        <v>33</v>
      </c>
      <c r="G70" s="1" t="s">
        <v>33</v>
      </c>
      <c r="H70" s="1">
        <v>6</v>
      </c>
      <c r="I70" s="1">
        <v>0</v>
      </c>
      <c r="J70" s="1" t="s">
        <v>33</v>
      </c>
      <c r="K70" s="1"/>
      <c r="L70" s="1"/>
      <c r="M70" s="1"/>
      <c r="N70" s="1"/>
      <c r="O70" s="1"/>
    </row>
    <row r="71" spans="1:15">
      <c r="A71" s="1" t="s">
        <v>50</v>
      </c>
      <c r="B71" s="1">
        <v>1</v>
      </c>
      <c r="C71" s="1">
        <v>0</v>
      </c>
      <c r="D71" s="1" t="s">
        <v>33</v>
      </c>
      <c r="E71" s="1" t="s">
        <v>33</v>
      </c>
      <c r="F71" s="1" t="s">
        <v>33</v>
      </c>
      <c r="G71" s="1" t="s">
        <v>33</v>
      </c>
      <c r="H71" s="1">
        <v>5</v>
      </c>
      <c r="I71" s="1">
        <v>0</v>
      </c>
      <c r="J71" s="1" t="s">
        <v>33</v>
      </c>
      <c r="K71" s="1"/>
      <c r="L71" s="1"/>
      <c r="M71" s="1"/>
      <c r="N71" s="1"/>
      <c r="O71" s="1"/>
    </row>
    <row r="72" spans="1:15">
      <c r="A72" s="1" t="s">
        <v>50</v>
      </c>
      <c r="B72" s="1">
        <v>10</v>
      </c>
      <c r="C72" s="1">
        <v>9</v>
      </c>
      <c r="D72" s="1" t="s">
        <v>33</v>
      </c>
      <c r="E72" s="1" t="s">
        <v>33</v>
      </c>
      <c r="F72" s="1" t="s">
        <v>33</v>
      </c>
      <c r="G72" s="1" t="s">
        <v>33</v>
      </c>
      <c r="H72" s="1">
        <v>5</v>
      </c>
      <c r="I72" s="1">
        <v>0</v>
      </c>
      <c r="J72" s="1" t="s">
        <v>33</v>
      </c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60</v>
      </c>
      <c r="B74" s="1" t="s">
        <v>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62</v>
      </c>
      <c r="B75" s="1" t="s">
        <v>63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64</v>
      </c>
      <c r="B76" s="1" t="s">
        <v>65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66</v>
      </c>
      <c r="B77" s="1" t="s">
        <v>67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14</v>
      </c>
      <c r="B78" s="1" t="s">
        <v>68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69</v>
      </c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71</v>
      </c>
      <c r="B80" s="1" t="s">
        <v>72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73</v>
      </c>
      <c r="B81" s="1" t="s">
        <v>74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75</v>
      </c>
      <c r="B82" s="1" t="s">
        <v>95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77</v>
      </c>
      <c r="B83" s="1" t="s">
        <v>78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79</v>
      </c>
      <c r="B84" s="1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81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83</v>
      </c>
      <c r="B86" s="1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85</v>
      </c>
      <c r="B87" s="1" t="s">
        <v>86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87</v>
      </c>
      <c r="B88" s="1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89</v>
      </c>
      <c r="B89" s="1" t="s">
        <v>90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91</v>
      </c>
      <c r="B90" s="1" t="s">
        <v>92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</sheetData>
  <autoFilter ref="A8:O28" xr:uid="{00000000-0009-0000-0000-000002000000}"/>
  <phoneticPr fontId="4"/>
  <pageMargins left="0.75" right="0.75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90"/>
  <sheetViews>
    <sheetView showGridLines="0" zoomScale="85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4" customWidth="1"/>
    <col min="2" max="2" width="23" customWidth="1"/>
    <col min="3" max="3" width="24" customWidth="1"/>
    <col min="4" max="4" width="30" customWidth="1"/>
    <col min="5" max="5" width="23" customWidth="1"/>
    <col min="6" max="6" width="21" customWidth="1"/>
    <col min="7" max="8" width="23" customWidth="1"/>
    <col min="9" max="9" width="24" customWidth="1"/>
    <col min="10" max="10" width="30" customWidth="1"/>
    <col min="11" max="11" width="32" customWidth="1"/>
    <col min="12" max="12" width="23" customWidth="1"/>
    <col min="13" max="13" width="27" customWidth="1"/>
    <col min="14" max="14" width="32" customWidth="1"/>
    <col min="15" max="15" width="46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2" t="s">
        <v>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1</v>
      </c>
      <c r="B3" s="3">
        <f>Model_Prices!$C$10</f>
        <v>0.2</v>
      </c>
      <c r="C3" s="1"/>
      <c r="D3" s="1" t="s">
        <v>2</v>
      </c>
      <c r="E3" s="1" t="s">
        <v>97</v>
      </c>
      <c r="F3" s="1"/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94</v>
      </c>
      <c r="C4" s="1"/>
      <c r="D4" s="1" t="s">
        <v>8</v>
      </c>
      <c r="E4" s="1" t="s">
        <v>9</v>
      </c>
      <c r="F4" s="1"/>
      <c r="G4" s="1" t="s">
        <v>10</v>
      </c>
      <c r="H4" s="1" t="s">
        <v>11</v>
      </c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74" customHeight="1">
      <c r="A8" s="4" t="s">
        <v>13</v>
      </c>
      <c r="B8" s="5" t="s">
        <v>14</v>
      </c>
      <c r="C8" s="5" t="s">
        <v>15</v>
      </c>
      <c r="D8" s="5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</row>
    <row r="9" spans="1:15" ht="29" customHeight="1">
      <c r="A9" s="1" t="s">
        <v>28</v>
      </c>
      <c r="B9" s="6">
        <f>C9*100</f>
        <v>2.7080401146131809E-2</v>
      </c>
      <c r="C9" s="6">
        <f>I9/1000000*Model_Prices!$C$10</f>
        <v>2.7080401146131809E-4</v>
      </c>
      <c r="D9" s="6">
        <f>K9/1000000*Model_Prices!$C$10</f>
        <v>2.7210288957049271E-4</v>
      </c>
      <c r="E9" s="7">
        <v>771.27220630372494</v>
      </c>
      <c r="F9" s="7">
        <v>58.284263959390863</v>
      </c>
      <c r="G9" s="7">
        <v>1.9924746981357699</v>
      </c>
      <c r="H9" s="7">
        <v>582.74785100286533</v>
      </c>
      <c r="I9" s="7">
        <f>E9+H9</f>
        <v>1354.0200573065904</v>
      </c>
      <c r="J9" s="7">
        <f>H9+L9</f>
        <v>589.24224154873855</v>
      </c>
      <c r="K9" s="7">
        <f>E9+J9</f>
        <v>1360.5144478524635</v>
      </c>
      <c r="L9" s="7">
        <v>6.4943905458731903</v>
      </c>
      <c r="M9" s="7">
        <v>1354.0200573065899</v>
      </c>
      <c r="N9" s="7">
        <f>ROUND(I9-M9,9)</f>
        <v>0</v>
      </c>
      <c r="O9" s="8" t="s">
        <v>29</v>
      </c>
    </row>
    <row r="10" spans="1:15" ht="29" customHeight="1">
      <c r="A10" s="1" t="s">
        <v>30</v>
      </c>
      <c r="B10" s="6">
        <f>C10*100</f>
        <v>1.8009394261424016E-2</v>
      </c>
      <c r="C10" s="6">
        <f>I10/1000000*Model_Prices!$C$10</f>
        <v>1.8009394261424017E-4</v>
      </c>
      <c r="D10" s="6">
        <f>K10/1000000*Model_Prices!$C$10</f>
        <v>1.8155462595421265E-4</v>
      </c>
      <c r="E10" s="7">
        <v>579.1434643995749</v>
      </c>
      <c r="F10" s="7">
        <v>32.086323957322989</v>
      </c>
      <c r="G10" s="7">
        <v>1.098149915739052</v>
      </c>
      <c r="H10" s="7">
        <v>321.32624867162588</v>
      </c>
      <c r="I10" s="7">
        <f>E10+H10</f>
        <v>900.46971307120077</v>
      </c>
      <c r="J10" s="7">
        <f>H10+L10</f>
        <v>328.62966537148827</v>
      </c>
      <c r="K10" s="7">
        <f>E10+J10</f>
        <v>907.77312977106317</v>
      </c>
      <c r="L10" s="7">
        <v>7.3034166998623826</v>
      </c>
      <c r="M10" s="7">
        <v>900.46971307120089</v>
      </c>
      <c r="N10" s="7">
        <f>ROUND(I10-M10,9)</f>
        <v>0</v>
      </c>
      <c r="O10" s="8" t="s">
        <v>29</v>
      </c>
    </row>
    <row r="11" spans="1:15" ht="29" customHeight="1">
      <c r="A11" s="1" t="s">
        <v>31</v>
      </c>
      <c r="B11" s="6">
        <f>C11*100</f>
        <v>2.9177915789473687E-2</v>
      </c>
      <c r="C11" s="6">
        <f>I11/1000000*Model_Prices!$C$10</f>
        <v>2.9177915789473688E-4</v>
      </c>
      <c r="D11" s="6">
        <f>K11/1000000*Model_Prices!$C$10</f>
        <v>2.9271834273017911E-4</v>
      </c>
      <c r="E11" s="7">
        <v>1014.471052631579</v>
      </c>
      <c r="F11" s="7">
        <v>44.422613065326637</v>
      </c>
      <c r="G11" s="7">
        <v>1.4433319930776001</v>
      </c>
      <c r="H11" s="7">
        <v>444.42473684210529</v>
      </c>
      <c r="I11" s="7">
        <f>E11+H11</f>
        <v>1458.8957894736843</v>
      </c>
      <c r="J11" s="7">
        <f>H11+L11</f>
        <v>449.12066101931646</v>
      </c>
      <c r="K11" s="7">
        <f>E11+J11</f>
        <v>1463.5917136508956</v>
      </c>
      <c r="L11" s="7">
        <v>4.6959241772111637</v>
      </c>
      <c r="M11" s="7">
        <v>1458.8957894736841</v>
      </c>
      <c r="N11" s="7">
        <f>ROUND(I11-M11,9)</f>
        <v>0</v>
      </c>
      <c r="O11" s="8" t="s">
        <v>29</v>
      </c>
    </row>
    <row r="12" spans="1:15" ht="58" customHeight="1">
      <c r="A12" s="1" t="s">
        <v>32</v>
      </c>
      <c r="B12" s="6" t="s">
        <v>33</v>
      </c>
      <c r="C12" s="6" t="s">
        <v>33</v>
      </c>
      <c r="D12" s="6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 t="s">
        <v>33</v>
      </c>
      <c r="O12" s="9" t="s">
        <v>34</v>
      </c>
    </row>
    <row r="13" spans="1:15" ht="29" customHeight="1">
      <c r="A13" s="1" t="s">
        <v>35</v>
      </c>
      <c r="B13" s="6">
        <f>C13*100</f>
        <v>2.3838881632653065E-2</v>
      </c>
      <c r="C13" s="6">
        <f>I13/1000000*Model_Prices!$C$10</f>
        <v>2.3838881632653065E-4</v>
      </c>
      <c r="D13" s="6">
        <f>K13/1000000*Model_Prices!$C$10</f>
        <v>2.3946977607100753E-4</v>
      </c>
      <c r="E13" s="7">
        <v>740.26857142857148</v>
      </c>
      <c r="F13" s="7">
        <v>45.168336673346687</v>
      </c>
      <c r="G13" s="7">
        <v>1.4070105886135671</v>
      </c>
      <c r="H13" s="7">
        <v>451.67551020408172</v>
      </c>
      <c r="I13" s="7">
        <f>E13+H13</f>
        <v>1191.9440816326533</v>
      </c>
      <c r="J13" s="7">
        <f>H13+L13</f>
        <v>457.0803089264661</v>
      </c>
      <c r="K13" s="7">
        <f>E13+J13</f>
        <v>1197.3488803550376</v>
      </c>
      <c r="L13" s="7">
        <v>5.4047987223843696</v>
      </c>
      <c r="M13" s="7">
        <v>1191.944081632653</v>
      </c>
      <c r="N13" s="7">
        <f>ROUND(I13-M13,9)</f>
        <v>0</v>
      </c>
      <c r="O13" s="8" t="s">
        <v>29</v>
      </c>
    </row>
    <row r="14" spans="1:15" ht="29" customHeight="1">
      <c r="A14" s="1" t="s">
        <v>36</v>
      </c>
      <c r="B14" s="6">
        <f>C14*100</f>
        <v>9.9946400000000005E-2</v>
      </c>
      <c r="C14" s="6">
        <f>I14/1000000*Model_Prices!$C$10</f>
        <v>9.9946400000000004E-4</v>
      </c>
      <c r="D14" s="6">
        <f>K14/1000000*Model_Prices!$C$10</f>
        <v>1.004144843513727E-3</v>
      </c>
      <c r="E14" s="7">
        <v>2159.06</v>
      </c>
      <c r="F14" s="7">
        <v>283.51428571428568</v>
      </c>
      <c r="G14" s="7">
        <v>7.493725266337627</v>
      </c>
      <c r="H14" s="7">
        <v>2838.26</v>
      </c>
      <c r="I14" s="7">
        <f>E14+H14</f>
        <v>4997.32</v>
      </c>
      <c r="J14" s="7">
        <f>H14+L14</f>
        <v>2861.6642175686352</v>
      </c>
      <c r="K14" s="7">
        <f>E14+J14</f>
        <v>5020.7242175686351</v>
      </c>
      <c r="L14" s="7">
        <v>23.40421756863493</v>
      </c>
      <c r="M14" s="7">
        <v>4997.32</v>
      </c>
      <c r="N14" s="7">
        <f>ROUND(I14-M14,9)</f>
        <v>0</v>
      </c>
      <c r="O14" s="8" t="s">
        <v>29</v>
      </c>
    </row>
    <row r="15" spans="1:15" ht="29" customHeight="1">
      <c r="A15" s="1" t="s">
        <v>37</v>
      </c>
      <c r="B15" s="6">
        <f>C15*100</f>
        <v>9.9865550000000011E-2</v>
      </c>
      <c r="C15" s="6">
        <f>I15/1000000*Model_Prices!$C$10</f>
        <v>9.9865550000000016E-4</v>
      </c>
      <c r="D15" s="6">
        <f>K15/1000000*Model_Prices!$C$10</f>
        <v>1.0023367014343147E-3</v>
      </c>
      <c r="E15" s="7">
        <v>2136.1075000000001</v>
      </c>
      <c r="F15" s="7">
        <v>285.72653061224491</v>
      </c>
      <c r="G15" s="7">
        <v>4.2420045083737108</v>
      </c>
      <c r="H15" s="7">
        <v>2857.17</v>
      </c>
      <c r="I15" s="7">
        <f>E15+H15</f>
        <v>4993.2775000000001</v>
      </c>
      <c r="J15" s="7">
        <f>H15+L15</f>
        <v>2875.5760071715731</v>
      </c>
      <c r="K15" s="7">
        <f>E15+J15</f>
        <v>5011.6835071715732</v>
      </c>
      <c r="L15" s="7">
        <v>18.406007171573091</v>
      </c>
      <c r="M15" s="7">
        <v>4993.2775000000001</v>
      </c>
      <c r="N15" s="7">
        <f>ROUND(I15-M15,9)</f>
        <v>0</v>
      </c>
      <c r="O15" s="8" t="s">
        <v>29</v>
      </c>
    </row>
    <row r="16" spans="1:15" ht="29" customHeight="1">
      <c r="A16" s="1" t="s">
        <v>38</v>
      </c>
      <c r="B16" s="6">
        <f>C16*100</f>
        <v>0.1005219</v>
      </c>
      <c r="C16" s="6">
        <f>I16/1000000*Model_Prices!$C$10</f>
        <v>1.0052189999999999E-3</v>
      </c>
      <c r="D16" s="6">
        <f>K16/1000000*Model_Prices!$C$10</f>
        <v>1.0095313768098346E-3</v>
      </c>
      <c r="E16" s="7">
        <v>2175.5825</v>
      </c>
      <c r="F16" s="7">
        <v>284.97142857142859</v>
      </c>
      <c r="G16" s="7">
        <v>6.5211743026631552</v>
      </c>
      <c r="H16" s="7">
        <v>2850.5124999999998</v>
      </c>
      <c r="I16" s="7">
        <f>E16+H16</f>
        <v>5026.0949999999993</v>
      </c>
      <c r="J16" s="7">
        <f>H16+L16</f>
        <v>2872.0743840491732</v>
      </c>
      <c r="K16" s="7">
        <f>E16+J16</f>
        <v>5047.6568840491727</v>
      </c>
      <c r="L16" s="7">
        <v>21.56188404917344</v>
      </c>
      <c r="M16" s="7">
        <v>5026.0950000000003</v>
      </c>
      <c r="N16" s="7">
        <f>ROUND(I16-M16,9)</f>
        <v>0</v>
      </c>
      <c r="O16" s="8" t="s">
        <v>29</v>
      </c>
    </row>
    <row r="17" spans="1:15" ht="58" customHeight="1">
      <c r="A17" s="1" t="s">
        <v>39</v>
      </c>
      <c r="B17" s="6" t="s">
        <v>33</v>
      </c>
      <c r="C17" s="6" t="s">
        <v>33</v>
      </c>
      <c r="D17" s="6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7" t="s">
        <v>33</v>
      </c>
      <c r="M17" s="7" t="s">
        <v>33</v>
      </c>
      <c r="N17" s="7" t="s">
        <v>33</v>
      </c>
      <c r="O17" s="9" t="s">
        <v>34</v>
      </c>
    </row>
    <row r="18" spans="1:15" ht="29" customHeight="1">
      <c r="A18" s="1" t="s">
        <v>40</v>
      </c>
      <c r="B18" s="6">
        <f>C18*100</f>
        <v>4.6335159817351604E-2</v>
      </c>
      <c r="C18" s="6">
        <f>I18/1000000*Model_Prices!$C$10</f>
        <v>4.6335159817351601E-4</v>
      </c>
      <c r="D18" s="6">
        <f>K18/1000000*Model_Prices!$C$10</f>
        <v>4.6639952077018624E-4</v>
      </c>
      <c r="E18" s="7">
        <v>1359.3515981735161</v>
      </c>
      <c r="F18" s="7">
        <v>95.808712121212125</v>
      </c>
      <c r="G18" s="7">
        <v>4.9012366876780149</v>
      </c>
      <c r="H18" s="7">
        <v>957.40639269406392</v>
      </c>
      <c r="I18" s="7">
        <f>E18+H18</f>
        <v>2316.7579908675798</v>
      </c>
      <c r="J18" s="7">
        <f>H18+L18</f>
        <v>972.64600567741491</v>
      </c>
      <c r="K18" s="7">
        <f>E18+J18</f>
        <v>2331.9976038509312</v>
      </c>
      <c r="L18" s="7">
        <v>15.239612983351019</v>
      </c>
      <c r="M18" s="7">
        <v>2316.7579908675798</v>
      </c>
      <c r="N18" s="7">
        <f>ROUND(I18-M18,9)</f>
        <v>0</v>
      </c>
      <c r="O18" s="8" t="s">
        <v>29</v>
      </c>
    </row>
    <row r="19" spans="1:15" ht="29" customHeight="1">
      <c r="A19" s="1" t="s">
        <v>41</v>
      </c>
      <c r="B19" s="6">
        <f>C19*100</f>
        <v>2.8496374184191452E-2</v>
      </c>
      <c r="C19" s="6">
        <f>I19/1000000*Model_Prices!$C$10</f>
        <v>2.8496374184191451E-4</v>
      </c>
      <c r="D19" s="6">
        <f>K19/1000000*Model_Prices!$C$10</f>
        <v>2.8588431929040784E-4</v>
      </c>
      <c r="E19" s="7">
        <v>939.26178390137784</v>
      </c>
      <c r="F19" s="7">
        <v>48.595473833097593</v>
      </c>
      <c r="G19" s="7">
        <v>1.4243316585835759</v>
      </c>
      <c r="H19" s="7">
        <v>485.55692530819442</v>
      </c>
      <c r="I19" s="7">
        <f>E19+H19</f>
        <v>1424.8187092095723</v>
      </c>
      <c r="J19" s="7">
        <f>H19+L19</f>
        <v>490.15981255066134</v>
      </c>
      <c r="K19" s="7">
        <f>E19+J19</f>
        <v>1429.4215964520392</v>
      </c>
      <c r="L19" s="7">
        <v>4.6028872424669416</v>
      </c>
      <c r="M19" s="7">
        <v>1424.818709209572</v>
      </c>
      <c r="N19" s="7">
        <f>ROUND(I19-M19,9)</f>
        <v>0</v>
      </c>
      <c r="O19" s="8" t="s">
        <v>29</v>
      </c>
    </row>
    <row r="20" spans="1:15" ht="29" customHeight="1">
      <c r="A20" s="1" t="s">
        <v>42</v>
      </c>
      <c r="B20" s="6">
        <f>C20*100</f>
        <v>3.4268907563025211E-2</v>
      </c>
      <c r="C20" s="6">
        <f>I20/1000000*Model_Prices!$C$10</f>
        <v>3.4268907563025214E-4</v>
      </c>
      <c r="D20" s="6">
        <f>K20/1000000*Model_Prices!$C$10</f>
        <v>3.579259253795662E-4</v>
      </c>
      <c r="E20" s="7">
        <v>948.93277310924373</v>
      </c>
      <c r="F20" s="7">
        <v>76.921727395411608</v>
      </c>
      <c r="G20" s="7">
        <v>9.1109120401686159</v>
      </c>
      <c r="H20" s="7">
        <v>764.51260504201684</v>
      </c>
      <c r="I20" s="7">
        <f>E20+H20</f>
        <v>1713.4453781512607</v>
      </c>
      <c r="J20" s="7">
        <f>H20+L20</f>
        <v>840.69685378858719</v>
      </c>
      <c r="K20" s="7">
        <f>E20+J20</f>
        <v>1789.6296268978308</v>
      </c>
      <c r="L20" s="7">
        <v>76.184248746570333</v>
      </c>
      <c r="M20" s="7">
        <v>1713.44537815126</v>
      </c>
      <c r="N20" s="7">
        <f>ROUND(I20-M20,9)</f>
        <v>0</v>
      </c>
      <c r="O20" s="8" t="s">
        <v>29</v>
      </c>
    </row>
    <row r="21" spans="1:15" ht="58" customHeight="1">
      <c r="A21" s="1" t="s">
        <v>43</v>
      </c>
      <c r="B21" s="6" t="s">
        <v>33</v>
      </c>
      <c r="C21" s="6" t="s">
        <v>33</v>
      </c>
      <c r="D21" s="6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33</v>
      </c>
      <c r="K21" s="7" t="s">
        <v>33</v>
      </c>
      <c r="L21" s="7" t="s">
        <v>33</v>
      </c>
      <c r="M21" s="7" t="s">
        <v>33</v>
      </c>
      <c r="N21" s="7" t="s">
        <v>33</v>
      </c>
      <c r="O21" s="9" t="s">
        <v>34</v>
      </c>
    </row>
    <row r="22" spans="1:15" ht="58" customHeight="1">
      <c r="A22" s="1" t="s">
        <v>44</v>
      </c>
      <c r="B22" s="6" t="s">
        <v>33</v>
      </c>
      <c r="C22" s="6" t="s">
        <v>33</v>
      </c>
      <c r="D22" s="6" t="s">
        <v>33</v>
      </c>
      <c r="E22" s="7" t="s">
        <v>33</v>
      </c>
      <c r="F22" s="7" t="s">
        <v>33</v>
      </c>
      <c r="G22" s="7" t="s">
        <v>33</v>
      </c>
      <c r="H22" s="7" t="s">
        <v>33</v>
      </c>
      <c r="I22" s="7" t="s">
        <v>33</v>
      </c>
      <c r="J22" s="7" t="s">
        <v>33</v>
      </c>
      <c r="K22" s="7" t="s">
        <v>33</v>
      </c>
      <c r="L22" s="7" t="s">
        <v>33</v>
      </c>
      <c r="M22" s="7" t="s">
        <v>33</v>
      </c>
      <c r="N22" s="7" t="s">
        <v>33</v>
      </c>
      <c r="O22" s="9" t="s">
        <v>34</v>
      </c>
    </row>
    <row r="23" spans="1:15" ht="58" customHeight="1">
      <c r="A23" s="1" t="s">
        <v>45</v>
      </c>
      <c r="B23" s="6" t="s">
        <v>33</v>
      </c>
      <c r="C23" s="6" t="s">
        <v>33</v>
      </c>
      <c r="D23" s="6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9" t="s">
        <v>34</v>
      </c>
    </row>
    <row r="24" spans="1:15" ht="58" customHeight="1">
      <c r="A24" s="1" t="s">
        <v>46</v>
      </c>
      <c r="B24" s="6" t="s">
        <v>33</v>
      </c>
      <c r="C24" s="6" t="s">
        <v>33</v>
      </c>
      <c r="D24" s="6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33</v>
      </c>
      <c r="L24" s="7" t="s">
        <v>33</v>
      </c>
      <c r="M24" s="7" t="s">
        <v>33</v>
      </c>
      <c r="N24" s="7" t="s">
        <v>33</v>
      </c>
      <c r="O24" s="9" t="s">
        <v>34</v>
      </c>
    </row>
    <row r="25" spans="1:15" ht="58" customHeight="1">
      <c r="A25" s="1" t="s">
        <v>47</v>
      </c>
      <c r="B25" s="6" t="s">
        <v>33</v>
      </c>
      <c r="C25" s="6" t="s">
        <v>33</v>
      </c>
      <c r="D25" s="6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33</v>
      </c>
      <c r="K25" s="7" t="s">
        <v>33</v>
      </c>
      <c r="L25" s="7" t="s">
        <v>33</v>
      </c>
      <c r="M25" s="7" t="s">
        <v>33</v>
      </c>
      <c r="N25" s="7" t="s">
        <v>33</v>
      </c>
      <c r="O25" s="9" t="s">
        <v>34</v>
      </c>
    </row>
    <row r="26" spans="1:15" ht="29" customHeight="1">
      <c r="A26" s="1" t="s">
        <v>48</v>
      </c>
      <c r="B26" s="6">
        <f>C26*100</f>
        <v>0.12434000000000002</v>
      </c>
      <c r="C26" s="6">
        <f>I26/1000000*Model_Prices!$C$10</f>
        <v>1.2434000000000002E-3</v>
      </c>
      <c r="D26" s="6">
        <f>K26/1000000*Model_Prices!$C$10</f>
        <v>1.2434000000000002E-3</v>
      </c>
      <c r="E26" s="7">
        <v>1127</v>
      </c>
      <c r="F26" s="7">
        <v>509</v>
      </c>
      <c r="G26" s="7">
        <v>0</v>
      </c>
      <c r="H26" s="7">
        <v>5090</v>
      </c>
      <c r="I26" s="7">
        <f>E26+H26</f>
        <v>6217</v>
      </c>
      <c r="J26" s="7">
        <f>H26+L26</f>
        <v>5090</v>
      </c>
      <c r="K26" s="7">
        <f>E26+J26</f>
        <v>6217</v>
      </c>
      <c r="L26" s="7">
        <v>0</v>
      </c>
      <c r="M26" s="7">
        <v>6217</v>
      </c>
      <c r="N26" s="7">
        <f>ROUND(I26-M26,9)</f>
        <v>0</v>
      </c>
      <c r="O26" s="8" t="s">
        <v>29</v>
      </c>
    </row>
    <row r="27" spans="1:15" ht="58" customHeight="1">
      <c r="A27" s="1" t="s">
        <v>49</v>
      </c>
      <c r="B27" s="6" t="s">
        <v>33</v>
      </c>
      <c r="C27" s="6" t="s">
        <v>33</v>
      </c>
      <c r="D27" s="6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33</v>
      </c>
      <c r="L27" s="7" t="s">
        <v>33</v>
      </c>
      <c r="M27" s="7" t="s">
        <v>33</v>
      </c>
      <c r="N27" s="7" t="s">
        <v>33</v>
      </c>
      <c r="O27" s="9" t="s">
        <v>34</v>
      </c>
    </row>
    <row r="28" spans="1:15" ht="58" customHeight="1">
      <c r="A28" s="1" t="s">
        <v>50</v>
      </c>
      <c r="B28" s="6" t="s">
        <v>33</v>
      </c>
      <c r="C28" s="6" t="s">
        <v>33</v>
      </c>
      <c r="D28" s="6" t="s">
        <v>33</v>
      </c>
      <c r="E28" s="7" t="s">
        <v>33</v>
      </c>
      <c r="F28" s="7" t="s">
        <v>33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33</v>
      </c>
      <c r="L28" s="7" t="s">
        <v>33</v>
      </c>
      <c r="M28" s="7" t="s">
        <v>33</v>
      </c>
      <c r="N28" s="7" t="s">
        <v>33</v>
      </c>
      <c r="O28" s="9" t="s">
        <v>34</v>
      </c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6" customHeight="1">
      <c r="A32" s="4" t="s">
        <v>13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4" t="s">
        <v>57</v>
      </c>
      <c r="I32" s="4" t="s">
        <v>58</v>
      </c>
      <c r="J32" s="4" t="s">
        <v>59</v>
      </c>
      <c r="K32" s="1"/>
      <c r="L32" s="1"/>
      <c r="M32" s="1"/>
      <c r="N32" s="1"/>
      <c r="O32" s="1"/>
    </row>
    <row r="33" spans="1:15">
      <c r="A33" s="1" t="s">
        <v>28</v>
      </c>
      <c r="B33" s="1">
        <v>1</v>
      </c>
      <c r="C33" s="1">
        <v>0</v>
      </c>
      <c r="D33" s="1">
        <v>394</v>
      </c>
      <c r="E33" s="1">
        <v>394</v>
      </c>
      <c r="F33" s="1">
        <v>5</v>
      </c>
      <c r="G33" s="1">
        <v>5</v>
      </c>
      <c r="H33" s="1">
        <v>5</v>
      </c>
      <c r="I33" s="1">
        <v>0</v>
      </c>
      <c r="J33" s="1">
        <v>1.717117156553631</v>
      </c>
      <c r="K33" s="1"/>
      <c r="L33" s="1"/>
      <c r="M33" s="1"/>
      <c r="N33" s="1"/>
      <c r="O33" s="1"/>
    </row>
    <row r="34" spans="1:15">
      <c r="A34" s="1" t="s">
        <v>28</v>
      </c>
      <c r="B34" s="1">
        <v>10</v>
      </c>
      <c r="C34" s="1">
        <v>9</v>
      </c>
      <c r="D34" s="1">
        <v>349</v>
      </c>
      <c r="E34" s="1">
        <v>349</v>
      </c>
      <c r="F34" s="1">
        <v>5</v>
      </c>
      <c r="G34" s="1">
        <v>5</v>
      </c>
      <c r="H34" s="1">
        <v>5</v>
      </c>
      <c r="I34" s="1">
        <v>0</v>
      </c>
      <c r="J34" s="1">
        <v>1.8034831001931579</v>
      </c>
      <c r="K34" s="1"/>
      <c r="L34" s="1"/>
      <c r="M34" s="1"/>
      <c r="N34" s="1"/>
      <c r="O34" s="1"/>
    </row>
    <row r="35" spans="1:15">
      <c r="A35" s="1" t="s">
        <v>30</v>
      </c>
      <c r="B35" s="1">
        <v>1</v>
      </c>
      <c r="C35" s="1">
        <v>0</v>
      </c>
      <c r="D35" s="1">
        <v>1031</v>
      </c>
      <c r="E35" s="1">
        <v>1031</v>
      </c>
      <c r="F35" s="1">
        <v>10</v>
      </c>
      <c r="G35" s="1">
        <v>10</v>
      </c>
      <c r="H35" s="1">
        <v>10</v>
      </c>
      <c r="I35" s="1">
        <v>0</v>
      </c>
      <c r="J35" s="1">
        <v>1.0750751251067061</v>
      </c>
      <c r="K35" s="1"/>
      <c r="L35" s="1"/>
      <c r="M35" s="1"/>
      <c r="N35" s="1"/>
      <c r="O35" s="1"/>
    </row>
    <row r="36" spans="1:15">
      <c r="A36" s="1" t="s">
        <v>30</v>
      </c>
      <c r="B36" s="1">
        <v>10</v>
      </c>
      <c r="C36" s="1">
        <v>9</v>
      </c>
      <c r="D36" s="1">
        <v>941</v>
      </c>
      <c r="E36" s="1">
        <v>941</v>
      </c>
      <c r="F36" s="1">
        <v>10</v>
      </c>
      <c r="G36" s="1">
        <v>10</v>
      </c>
      <c r="H36" s="1">
        <v>10</v>
      </c>
      <c r="I36" s="1">
        <v>0</v>
      </c>
      <c r="J36" s="1">
        <v>1.100493709153624</v>
      </c>
      <c r="K36" s="1"/>
      <c r="L36" s="1"/>
      <c r="M36" s="1"/>
      <c r="N36" s="1"/>
      <c r="O36" s="1"/>
    </row>
    <row r="37" spans="1:15">
      <c r="A37" s="1" t="s">
        <v>31</v>
      </c>
      <c r="B37" s="1">
        <v>1</v>
      </c>
      <c r="C37" s="1">
        <v>0</v>
      </c>
      <c r="D37" s="1">
        <v>1990</v>
      </c>
      <c r="E37" s="1">
        <v>1990</v>
      </c>
      <c r="F37" s="1">
        <v>10</v>
      </c>
      <c r="G37" s="1">
        <v>10</v>
      </c>
      <c r="H37" s="1">
        <v>10</v>
      </c>
      <c r="I37" s="1">
        <v>0</v>
      </c>
      <c r="J37" s="1">
        <v>1.0790623925796039</v>
      </c>
      <c r="K37" s="1"/>
      <c r="L37" s="1"/>
      <c r="M37" s="1"/>
      <c r="N37" s="1"/>
      <c r="O37" s="1"/>
    </row>
    <row r="38" spans="1:15">
      <c r="A38" s="1" t="s">
        <v>31</v>
      </c>
      <c r="B38" s="1">
        <v>10</v>
      </c>
      <c r="C38" s="1">
        <v>9</v>
      </c>
      <c r="D38" s="1">
        <v>1900</v>
      </c>
      <c r="E38" s="1">
        <v>1900</v>
      </c>
      <c r="F38" s="1">
        <v>10</v>
      </c>
      <c r="G38" s="1">
        <v>10</v>
      </c>
      <c r="H38" s="1">
        <v>10</v>
      </c>
      <c r="I38" s="1">
        <v>0</v>
      </c>
      <c r="J38" s="1">
        <v>1.084194557879341</v>
      </c>
      <c r="K38" s="1"/>
      <c r="L38" s="1"/>
      <c r="M38" s="1"/>
      <c r="N38" s="1"/>
      <c r="O38" s="1"/>
    </row>
    <row r="39" spans="1:15">
      <c r="A39" s="1" t="s">
        <v>32</v>
      </c>
      <c r="B39" s="1">
        <v>1</v>
      </c>
      <c r="C39" s="1">
        <v>0</v>
      </c>
      <c r="D39" s="1" t="s">
        <v>33</v>
      </c>
      <c r="E39" s="1" t="s">
        <v>33</v>
      </c>
      <c r="F39" s="1" t="s">
        <v>33</v>
      </c>
      <c r="G39" s="1" t="s">
        <v>33</v>
      </c>
      <c r="H39" s="1">
        <v>2</v>
      </c>
      <c r="I39" s="1">
        <v>0</v>
      </c>
      <c r="J39" s="1" t="s">
        <v>33</v>
      </c>
      <c r="K39" s="1"/>
      <c r="L39" s="1"/>
      <c r="M39" s="1"/>
      <c r="N39" s="1"/>
      <c r="O39" s="1"/>
    </row>
    <row r="40" spans="1:15">
      <c r="A40" s="1" t="s">
        <v>32</v>
      </c>
      <c r="B40" s="1">
        <v>10</v>
      </c>
      <c r="C40" s="1">
        <v>9</v>
      </c>
      <c r="D40" s="1" t="s">
        <v>33</v>
      </c>
      <c r="E40" s="1" t="s">
        <v>33</v>
      </c>
      <c r="F40" s="1" t="s">
        <v>33</v>
      </c>
      <c r="G40" s="1" t="s">
        <v>33</v>
      </c>
      <c r="H40" s="1">
        <v>2</v>
      </c>
      <c r="I40" s="1">
        <v>0</v>
      </c>
      <c r="J40" s="1" t="s">
        <v>33</v>
      </c>
      <c r="K40" s="1"/>
      <c r="L40" s="1"/>
      <c r="M40" s="1"/>
      <c r="N40" s="1"/>
      <c r="O40" s="1"/>
    </row>
    <row r="41" spans="1:15">
      <c r="A41" s="1" t="s">
        <v>35</v>
      </c>
      <c r="B41" s="1">
        <v>1</v>
      </c>
      <c r="C41" s="1">
        <v>0</v>
      </c>
      <c r="D41" s="1">
        <v>2495</v>
      </c>
      <c r="E41" s="1">
        <v>2495</v>
      </c>
      <c r="F41" s="1">
        <v>5</v>
      </c>
      <c r="G41" s="1">
        <v>5</v>
      </c>
      <c r="H41" s="1">
        <v>5</v>
      </c>
      <c r="I41" s="1">
        <v>0</v>
      </c>
      <c r="J41" s="1">
        <v>1.395348401172257</v>
      </c>
      <c r="K41" s="1"/>
      <c r="L41" s="1"/>
      <c r="M41" s="1"/>
      <c r="N41" s="1"/>
      <c r="O41" s="1"/>
    </row>
    <row r="42" spans="1:15">
      <c r="A42" s="1" t="s">
        <v>35</v>
      </c>
      <c r="B42" s="1">
        <v>10</v>
      </c>
      <c r="C42" s="1">
        <v>9</v>
      </c>
      <c r="D42" s="1">
        <v>2450</v>
      </c>
      <c r="E42" s="1">
        <v>2450</v>
      </c>
      <c r="F42" s="1">
        <v>5</v>
      </c>
      <c r="G42" s="1">
        <v>5</v>
      </c>
      <c r="H42" s="1">
        <v>5</v>
      </c>
      <c r="I42" s="1">
        <v>0</v>
      </c>
      <c r="J42" s="1">
        <v>1.3814041953825129</v>
      </c>
      <c r="K42" s="1"/>
      <c r="L42" s="1"/>
      <c r="M42" s="1"/>
      <c r="N42" s="1"/>
      <c r="O42" s="1"/>
    </row>
    <row r="43" spans="1:15">
      <c r="A43" s="1" t="s">
        <v>36</v>
      </c>
      <c r="B43" s="1">
        <v>1</v>
      </c>
      <c r="C43" s="1">
        <v>0</v>
      </c>
      <c r="D43" s="1">
        <v>490</v>
      </c>
      <c r="E43" s="1">
        <v>490</v>
      </c>
      <c r="F43" s="1">
        <v>10</v>
      </c>
      <c r="G43" s="1">
        <v>10</v>
      </c>
      <c r="H43" s="1">
        <v>10</v>
      </c>
      <c r="I43" s="1">
        <v>0</v>
      </c>
      <c r="J43" s="1">
        <v>7.2467261274900654</v>
      </c>
      <c r="K43" s="1"/>
      <c r="L43" s="1"/>
      <c r="M43" s="1"/>
      <c r="N43" s="1"/>
      <c r="O43" s="1"/>
    </row>
    <row r="44" spans="1:15">
      <c r="A44" s="1" t="s">
        <v>36</v>
      </c>
      <c r="B44" s="1">
        <v>10</v>
      </c>
      <c r="C44" s="1">
        <v>9</v>
      </c>
      <c r="D44" s="1">
        <v>400</v>
      </c>
      <c r="E44" s="1">
        <v>400</v>
      </c>
      <c r="F44" s="1">
        <v>10</v>
      </c>
      <c r="G44" s="1">
        <v>10</v>
      </c>
      <c r="H44" s="1">
        <v>10</v>
      </c>
      <c r="I44" s="1">
        <v>0</v>
      </c>
      <c r="J44" s="1">
        <v>1.9407215153133131</v>
      </c>
      <c r="K44" s="1"/>
      <c r="L44" s="1"/>
      <c r="M44" s="1"/>
      <c r="N44" s="1"/>
      <c r="O44" s="1"/>
    </row>
    <row r="45" spans="1:15">
      <c r="A45" s="1" t="s">
        <v>37</v>
      </c>
      <c r="B45" s="1">
        <v>1</v>
      </c>
      <c r="C45" s="1">
        <v>0</v>
      </c>
      <c r="D45" s="1">
        <v>490</v>
      </c>
      <c r="E45" s="1">
        <v>490</v>
      </c>
      <c r="F45" s="1">
        <v>10</v>
      </c>
      <c r="G45" s="1">
        <v>10</v>
      </c>
      <c r="H45" s="1">
        <v>10</v>
      </c>
      <c r="I45" s="1">
        <v>0</v>
      </c>
      <c r="J45" s="1">
        <v>3.9827412969252811</v>
      </c>
      <c r="K45" s="1"/>
      <c r="L45" s="1"/>
      <c r="M45" s="1"/>
      <c r="N45" s="1"/>
      <c r="O45" s="1"/>
    </row>
    <row r="46" spans="1:15">
      <c r="A46" s="1" t="s">
        <v>37</v>
      </c>
      <c r="B46" s="1">
        <v>10</v>
      </c>
      <c r="C46" s="1">
        <v>9</v>
      </c>
      <c r="D46" s="1">
        <v>400</v>
      </c>
      <c r="E46" s="1">
        <v>400</v>
      </c>
      <c r="F46" s="1">
        <v>10</v>
      </c>
      <c r="G46" s="1">
        <v>10</v>
      </c>
      <c r="H46" s="1">
        <v>10</v>
      </c>
      <c r="I46" s="1">
        <v>0</v>
      </c>
      <c r="J46" s="1">
        <v>4.3290811669452447</v>
      </c>
      <c r="K46" s="1"/>
      <c r="L46" s="1"/>
      <c r="M46" s="1"/>
      <c r="N46" s="1"/>
      <c r="O46" s="1"/>
    </row>
    <row r="47" spans="1:15">
      <c r="A47" s="1" t="s">
        <v>38</v>
      </c>
      <c r="B47" s="1">
        <v>1</v>
      </c>
      <c r="C47" s="1">
        <v>0</v>
      </c>
      <c r="D47" s="1">
        <v>490</v>
      </c>
      <c r="E47" s="1">
        <v>490</v>
      </c>
      <c r="F47" s="1">
        <v>10</v>
      </c>
      <c r="G47" s="1">
        <v>10</v>
      </c>
      <c r="H47" s="1">
        <v>10</v>
      </c>
      <c r="I47" s="1">
        <v>0</v>
      </c>
      <c r="J47" s="1">
        <v>6.3690869548207196</v>
      </c>
      <c r="K47" s="1"/>
      <c r="L47" s="1"/>
      <c r="M47" s="1"/>
      <c r="N47" s="1"/>
      <c r="O47" s="1"/>
    </row>
    <row r="48" spans="1:15">
      <c r="A48" s="1" t="s">
        <v>38</v>
      </c>
      <c r="B48" s="1">
        <v>10</v>
      </c>
      <c r="C48" s="1">
        <v>9</v>
      </c>
      <c r="D48" s="1">
        <v>400</v>
      </c>
      <c r="E48" s="1">
        <v>400</v>
      </c>
      <c r="F48" s="1">
        <v>10</v>
      </c>
      <c r="G48" s="1">
        <v>10</v>
      </c>
      <c r="H48" s="1">
        <v>10</v>
      </c>
      <c r="I48" s="1">
        <v>0</v>
      </c>
      <c r="J48" s="1">
        <v>1.4415941696607959</v>
      </c>
      <c r="K48" s="1"/>
      <c r="L48" s="1"/>
      <c r="M48" s="1"/>
      <c r="N48" s="1"/>
      <c r="O48" s="1"/>
    </row>
    <row r="49" spans="1:15">
      <c r="A49" s="1" t="s">
        <v>39</v>
      </c>
      <c r="B49" s="1">
        <v>1</v>
      </c>
      <c r="C49" s="1">
        <v>0</v>
      </c>
      <c r="D49" s="1" t="s">
        <v>33</v>
      </c>
      <c r="E49" s="1" t="s">
        <v>33</v>
      </c>
      <c r="F49" s="1" t="s">
        <v>33</v>
      </c>
      <c r="G49" s="1" t="s">
        <v>33</v>
      </c>
      <c r="H49" s="1">
        <v>3</v>
      </c>
      <c r="I49" s="1">
        <v>0</v>
      </c>
      <c r="J49" s="1" t="s">
        <v>33</v>
      </c>
      <c r="K49" s="1"/>
      <c r="L49" s="1"/>
      <c r="M49" s="1"/>
      <c r="N49" s="1"/>
      <c r="O49" s="1"/>
    </row>
    <row r="50" spans="1:15">
      <c r="A50" s="1" t="s">
        <v>39</v>
      </c>
      <c r="B50" s="1">
        <v>10</v>
      </c>
      <c r="C50" s="1">
        <v>9</v>
      </c>
      <c r="D50" s="1" t="s">
        <v>33</v>
      </c>
      <c r="E50" s="1" t="s">
        <v>33</v>
      </c>
      <c r="F50" s="1" t="s">
        <v>33</v>
      </c>
      <c r="G50" s="1" t="s">
        <v>33</v>
      </c>
      <c r="H50" s="1">
        <v>3</v>
      </c>
      <c r="I50" s="1">
        <v>0</v>
      </c>
      <c r="J50" s="1" t="s">
        <v>33</v>
      </c>
      <c r="K50" s="1"/>
      <c r="L50" s="1"/>
      <c r="M50" s="1"/>
      <c r="N50" s="1"/>
      <c r="O50" s="1"/>
    </row>
    <row r="51" spans="1:15">
      <c r="A51" s="1" t="s">
        <v>40</v>
      </c>
      <c r="B51" s="1">
        <v>1</v>
      </c>
      <c r="C51" s="1">
        <v>0</v>
      </c>
      <c r="D51" s="1">
        <v>528</v>
      </c>
      <c r="E51" s="1">
        <v>528</v>
      </c>
      <c r="F51" s="1">
        <v>10</v>
      </c>
      <c r="G51" s="1">
        <v>10</v>
      </c>
      <c r="H51" s="1">
        <v>10</v>
      </c>
      <c r="I51" s="1">
        <v>0</v>
      </c>
      <c r="J51" s="1">
        <v>4.1107573879761787</v>
      </c>
      <c r="K51" s="1"/>
      <c r="L51" s="1"/>
      <c r="M51" s="1"/>
      <c r="N51" s="1"/>
      <c r="O51" s="1"/>
    </row>
    <row r="52" spans="1:15">
      <c r="A52" s="1" t="s">
        <v>40</v>
      </c>
      <c r="B52" s="1">
        <v>10</v>
      </c>
      <c r="C52" s="1">
        <v>9</v>
      </c>
      <c r="D52" s="1">
        <v>438</v>
      </c>
      <c r="E52" s="1">
        <v>438</v>
      </c>
      <c r="F52" s="1">
        <v>10</v>
      </c>
      <c r="G52" s="1">
        <v>10</v>
      </c>
      <c r="H52" s="1">
        <v>10</v>
      </c>
      <c r="I52" s="1">
        <v>0</v>
      </c>
      <c r="J52" s="1">
        <v>4.1473581515975004</v>
      </c>
      <c r="K52" s="1"/>
      <c r="L52" s="1"/>
      <c r="M52" s="1"/>
      <c r="N52" s="1"/>
      <c r="O52" s="1"/>
    </row>
    <row r="53" spans="1:15">
      <c r="A53" s="1" t="s">
        <v>41</v>
      </c>
      <c r="B53" s="1">
        <v>1</v>
      </c>
      <c r="C53" s="1">
        <v>0</v>
      </c>
      <c r="D53" s="1">
        <v>1414</v>
      </c>
      <c r="E53" s="1">
        <v>1414</v>
      </c>
      <c r="F53" s="1">
        <v>5</v>
      </c>
      <c r="G53" s="1">
        <v>5</v>
      </c>
      <c r="H53" s="1">
        <v>5</v>
      </c>
      <c r="I53" s="1">
        <v>0</v>
      </c>
      <c r="J53" s="1">
        <v>1.0522247228676771</v>
      </c>
      <c r="K53" s="1"/>
      <c r="L53" s="1"/>
      <c r="M53" s="1"/>
      <c r="N53" s="1"/>
      <c r="O53" s="1"/>
    </row>
    <row r="54" spans="1:15">
      <c r="A54" s="1" t="s">
        <v>41</v>
      </c>
      <c r="B54" s="1">
        <v>10</v>
      </c>
      <c r="C54" s="1">
        <v>9</v>
      </c>
      <c r="D54" s="1">
        <v>1379</v>
      </c>
      <c r="E54" s="1">
        <v>1379</v>
      </c>
      <c r="F54" s="1">
        <v>3</v>
      </c>
      <c r="G54" s="1">
        <v>3</v>
      </c>
      <c r="H54" s="1">
        <v>5</v>
      </c>
      <c r="I54" s="1">
        <v>0</v>
      </c>
      <c r="J54" s="1">
        <v>1.054186725909521</v>
      </c>
      <c r="K54" s="1"/>
      <c r="L54" s="1"/>
      <c r="M54" s="1"/>
      <c r="N54" s="1"/>
      <c r="O54" s="1"/>
    </row>
    <row r="55" spans="1:15">
      <c r="A55" s="1" t="s">
        <v>42</v>
      </c>
      <c r="B55" s="1">
        <v>1</v>
      </c>
      <c r="C55" s="1">
        <v>0</v>
      </c>
      <c r="D55" s="1">
        <v>741</v>
      </c>
      <c r="E55" s="1">
        <v>741</v>
      </c>
      <c r="F55" s="1">
        <v>3</v>
      </c>
      <c r="G55" s="1">
        <v>3</v>
      </c>
      <c r="H55" s="1">
        <v>3</v>
      </c>
      <c r="I55" s="1">
        <v>0</v>
      </c>
      <c r="J55" s="1">
        <v>8.7571872376841799</v>
      </c>
      <c r="K55" s="1"/>
      <c r="L55" s="1"/>
      <c r="M55" s="1"/>
      <c r="N55" s="1"/>
      <c r="O55" s="1"/>
    </row>
    <row r="56" spans="1:15">
      <c r="A56" s="1" t="s">
        <v>42</v>
      </c>
      <c r="B56" s="1">
        <v>10</v>
      </c>
      <c r="C56" s="1">
        <v>9</v>
      </c>
      <c r="D56" s="1">
        <v>714</v>
      </c>
      <c r="E56" s="1">
        <v>714</v>
      </c>
      <c r="F56" s="1">
        <v>3</v>
      </c>
      <c r="G56" s="1">
        <v>3</v>
      </c>
      <c r="H56" s="1">
        <v>3</v>
      </c>
      <c r="I56" s="1">
        <v>0</v>
      </c>
      <c r="J56" s="1">
        <v>8.690505871919374</v>
      </c>
      <c r="K56" s="1"/>
      <c r="L56" s="1"/>
      <c r="M56" s="1"/>
      <c r="N56" s="1"/>
      <c r="O56" s="1"/>
    </row>
    <row r="57" spans="1:15">
      <c r="A57" s="1" t="s">
        <v>43</v>
      </c>
      <c r="B57" s="1">
        <v>1</v>
      </c>
      <c r="C57" s="1">
        <v>0</v>
      </c>
      <c r="D57" s="1" t="s">
        <v>33</v>
      </c>
      <c r="E57" s="1" t="s">
        <v>33</v>
      </c>
      <c r="F57" s="1" t="s">
        <v>33</v>
      </c>
      <c r="G57" s="1" t="s">
        <v>33</v>
      </c>
      <c r="H57" s="1">
        <v>24</v>
      </c>
      <c r="I57" s="1">
        <v>0</v>
      </c>
      <c r="J57" s="1" t="s">
        <v>33</v>
      </c>
      <c r="K57" s="1"/>
      <c r="L57" s="1"/>
      <c r="M57" s="1"/>
      <c r="N57" s="1"/>
      <c r="O57" s="1"/>
    </row>
    <row r="58" spans="1:15">
      <c r="A58" s="1" t="s">
        <v>43</v>
      </c>
      <c r="B58" s="1">
        <v>10</v>
      </c>
      <c r="C58" s="1">
        <v>9</v>
      </c>
      <c r="D58" s="1" t="s">
        <v>33</v>
      </c>
      <c r="E58" s="1" t="s">
        <v>33</v>
      </c>
      <c r="F58" s="1" t="s">
        <v>33</v>
      </c>
      <c r="G58" s="1" t="s">
        <v>33</v>
      </c>
      <c r="H58" s="1">
        <v>24</v>
      </c>
      <c r="I58" s="1">
        <v>0</v>
      </c>
      <c r="J58" s="1" t="s">
        <v>33</v>
      </c>
      <c r="K58" s="1"/>
      <c r="L58" s="1"/>
      <c r="M58" s="1"/>
      <c r="N58" s="1"/>
      <c r="O58" s="1"/>
    </row>
    <row r="59" spans="1:15">
      <c r="A59" s="1" t="s">
        <v>44</v>
      </c>
      <c r="B59" s="1">
        <v>1</v>
      </c>
      <c r="C59" s="1">
        <v>0</v>
      </c>
      <c r="D59" s="1" t="s">
        <v>33</v>
      </c>
      <c r="E59" s="1" t="s">
        <v>33</v>
      </c>
      <c r="F59" s="1" t="s">
        <v>33</v>
      </c>
      <c r="G59" s="1" t="s">
        <v>33</v>
      </c>
      <c r="H59" s="1">
        <v>11</v>
      </c>
      <c r="I59" s="1">
        <v>0</v>
      </c>
      <c r="J59" s="1" t="s">
        <v>33</v>
      </c>
      <c r="K59" s="1"/>
      <c r="L59" s="1"/>
      <c r="M59" s="1"/>
      <c r="N59" s="1"/>
      <c r="O59" s="1"/>
    </row>
    <row r="60" spans="1:15">
      <c r="A60" s="1" t="s">
        <v>44</v>
      </c>
      <c r="B60" s="1">
        <v>10</v>
      </c>
      <c r="C60" s="1">
        <v>9</v>
      </c>
      <c r="D60" s="1" t="s">
        <v>33</v>
      </c>
      <c r="E60" s="1" t="s">
        <v>33</v>
      </c>
      <c r="F60" s="1" t="s">
        <v>33</v>
      </c>
      <c r="G60" s="1" t="s">
        <v>33</v>
      </c>
      <c r="H60" s="1">
        <v>11</v>
      </c>
      <c r="I60" s="1">
        <v>0</v>
      </c>
      <c r="J60" s="1" t="s">
        <v>33</v>
      </c>
      <c r="K60" s="1"/>
      <c r="L60" s="1"/>
      <c r="M60" s="1"/>
      <c r="N60" s="1"/>
      <c r="O60" s="1"/>
    </row>
    <row r="61" spans="1:15">
      <c r="A61" s="1" t="s">
        <v>45</v>
      </c>
      <c r="B61" s="1">
        <v>1</v>
      </c>
      <c r="C61" s="1">
        <v>0</v>
      </c>
      <c r="D61" s="1" t="s">
        <v>33</v>
      </c>
      <c r="E61" s="1" t="s">
        <v>33</v>
      </c>
      <c r="F61" s="1" t="s">
        <v>33</v>
      </c>
      <c r="G61" s="1" t="s">
        <v>33</v>
      </c>
      <c r="H61" s="1">
        <v>17</v>
      </c>
      <c r="I61" s="1">
        <v>0</v>
      </c>
      <c r="J61" s="1" t="s">
        <v>33</v>
      </c>
      <c r="K61" s="1"/>
      <c r="L61" s="1"/>
      <c r="M61" s="1"/>
      <c r="N61" s="1"/>
      <c r="O61" s="1"/>
    </row>
    <row r="62" spans="1:15">
      <c r="A62" s="1" t="s">
        <v>45</v>
      </c>
      <c r="B62" s="1">
        <v>10</v>
      </c>
      <c r="C62" s="1">
        <v>9</v>
      </c>
      <c r="D62" s="1" t="s">
        <v>33</v>
      </c>
      <c r="E62" s="1" t="s">
        <v>33</v>
      </c>
      <c r="F62" s="1" t="s">
        <v>33</v>
      </c>
      <c r="G62" s="1" t="s">
        <v>33</v>
      </c>
      <c r="H62" s="1">
        <v>17</v>
      </c>
      <c r="I62" s="1">
        <v>0</v>
      </c>
      <c r="J62" s="1" t="s">
        <v>33</v>
      </c>
      <c r="K62" s="1"/>
      <c r="L62" s="1"/>
      <c r="M62" s="1"/>
      <c r="N62" s="1"/>
      <c r="O62" s="1"/>
    </row>
    <row r="63" spans="1:15">
      <c r="A63" s="1" t="s">
        <v>46</v>
      </c>
      <c r="B63" s="1">
        <v>1</v>
      </c>
      <c r="C63" s="1">
        <v>0</v>
      </c>
      <c r="D63" s="1" t="s">
        <v>33</v>
      </c>
      <c r="E63" s="1" t="s">
        <v>33</v>
      </c>
      <c r="F63" s="1" t="s">
        <v>33</v>
      </c>
      <c r="G63" s="1" t="s">
        <v>33</v>
      </c>
      <c r="H63" s="1">
        <v>5</v>
      </c>
      <c r="I63" s="1">
        <v>0</v>
      </c>
      <c r="J63" s="1" t="s">
        <v>33</v>
      </c>
      <c r="K63" s="1"/>
      <c r="L63" s="1"/>
      <c r="M63" s="1"/>
      <c r="N63" s="1"/>
      <c r="O63" s="1"/>
    </row>
    <row r="64" spans="1:15">
      <c r="A64" s="1" t="s">
        <v>46</v>
      </c>
      <c r="B64" s="1">
        <v>10</v>
      </c>
      <c r="C64" s="1">
        <v>9</v>
      </c>
      <c r="D64" s="1" t="s">
        <v>33</v>
      </c>
      <c r="E64" s="1" t="s">
        <v>33</v>
      </c>
      <c r="F64" s="1" t="s">
        <v>33</v>
      </c>
      <c r="G64" s="1" t="s">
        <v>33</v>
      </c>
      <c r="H64" s="1">
        <v>5</v>
      </c>
      <c r="I64" s="1">
        <v>0</v>
      </c>
      <c r="J64" s="1" t="s">
        <v>33</v>
      </c>
      <c r="K64" s="1"/>
      <c r="L64" s="1"/>
      <c r="M64" s="1"/>
      <c r="N64" s="1"/>
      <c r="O64" s="1"/>
    </row>
    <row r="65" spans="1:15">
      <c r="A65" s="1" t="s">
        <v>47</v>
      </c>
      <c r="B65" s="1">
        <v>1</v>
      </c>
      <c r="C65" s="1">
        <v>0</v>
      </c>
      <c r="D65" s="1" t="s">
        <v>33</v>
      </c>
      <c r="E65" s="1" t="s">
        <v>33</v>
      </c>
      <c r="F65" s="1" t="s">
        <v>33</v>
      </c>
      <c r="G65" s="1" t="s">
        <v>33</v>
      </c>
      <c r="H65" s="1">
        <v>11</v>
      </c>
      <c r="I65" s="1">
        <v>0</v>
      </c>
      <c r="J65" s="1" t="s">
        <v>33</v>
      </c>
      <c r="K65" s="1"/>
      <c r="L65" s="1"/>
      <c r="M65" s="1"/>
      <c r="N65" s="1"/>
      <c r="O65" s="1"/>
    </row>
    <row r="66" spans="1:15">
      <c r="A66" s="1" t="s">
        <v>47</v>
      </c>
      <c r="B66" s="1">
        <v>10</v>
      </c>
      <c r="C66" s="1">
        <v>9</v>
      </c>
      <c r="D66" s="1" t="s">
        <v>33</v>
      </c>
      <c r="E66" s="1" t="s">
        <v>33</v>
      </c>
      <c r="F66" s="1" t="s">
        <v>33</v>
      </c>
      <c r="G66" s="1" t="s">
        <v>33</v>
      </c>
      <c r="H66" s="1">
        <v>11</v>
      </c>
      <c r="I66" s="1">
        <v>0</v>
      </c>
      <c r="J66" s="1" t="s">
        <v>33</v>
      </c>
      <c r="K66" s="1"/>
      <c r="L66" s="1"/>
      <c r="M66" s="1"/>
      <c r="N66" s="1"/>
      <c r="O66" s="1"/>
    </row>
    <row r="67" spans="1:15">
      <c r="A67" s="1" t="s">
        <v>48</v>
      </c>
      <c r="B67" s="1">
        <v>1</v>
      </c>
      <c r="C67" s="1">
        <v>0</v>
      </c>
      <c r="D67" s="1">
        <v>120</v>
      </c>
      <c r="E67" s="1">
        <v>120</v>
      </c>
      <c r="F67" s="1">
        <v>10</v>
      </c>
      <c r="G67" s="1">
        <v>10</v>
      </c>
      <c r="H67" s="1">
        <v>10</v>
      </c>
      <c r="I67" s="1">
        <v>0</v>
      </c>
      <c r="J67" s="1">
        <v>0</v>
      </c>
      <c r="K67" s="1"/>
      <c r="L67" s="1"/>
      <c r="M67" s="1"/>
      <c r="N67" s="1"/>
      <c r="O67" s="1"/>
    </row>
    <row r="68" spans="1:15">
      <c r="A68" s="1" t="s">
        <v>48</v>
      </c>
      <c r="B68" s="1">
        <v>10</v>
      </c>
      <c r="C68" s="1">
        <v>9</v>
      </c>
      <c r="D68" s="1">
        <v>33</v>
      </c>
      <c r="E68" s="1">
        <v>33</v>
      </c>
      <c r="F68" s="1">
        <v>5</v>
      </c>
      <c r="G68" s="1">
        <v>5</v>
      </c>
      <c r="H68" s="1">
        <v>10</v>
      </c>
      <c r="I68" s="1">
        <v>0</v>
      </c>
      <c r="J68" s="1">
        <v>0</v>
      </c>
      <c r="K68" s="1"/>
      <c r="L68" s="1"/>
      <c r="M68" s="1"/>
      <c r="N68" s="1"/>
      <c r="O68" s="1"/>
    </row>
    <row r="69" spans="1:15">
      <c r="A69" s="1" t="s">
        <v>49</v>
      </c>
      <c r="B69" s="1">
        <v>1</v>
      </c>
      <c r="C69" s="1">
        <v>0</v>
      </c>
      <c r="D69" s="1" t="s">
        <v>33</v>
      </c>
      <c r="E69" s="1" t="s">
        <v>33</v>
      </c>
      <c r="F69" s="1" t="s">
        <v>33</v>
      </c>
      <c r="G69" s="1" t="s">
        <v>33</v>
      </c>
      <c r="H69" s="1">
        <v>6</v>
      </c>
      <c r="I69" s="1">
        <v>0</v>
      </c>
      <c r="J69" s="1" t="s">
        <v>33</v>
      </c>
      <c r="K69" s="1"/>
      <c r="L69" s="1"/>
      <c r="M69" s="1"/>
      <c r="N69" s="1"/>
      <c r="O69" s="1"/>
    </row>
    <row r="70" spans="1:15">
      <c r="A70" s="1" t="s">
        <v>49</v>
      </c>
      <c r="B70" s="1">
        <v>10</v>
      </c>
      <c r="C70" s="1">
        <v>9</v>
      </c>
      <c r="D70" s="1" t="s">
        <v>33</v>
      </c>
      <c r="E70" s="1" t="s">
        <v>33</v>
      </c>
      <c r="F70" s="1" t="s">
        <v>33</v>
      </c>
      <c r="G70" s="1" t="s">
        <v>33</v>
      </c>
      <c r="H70" s="1">
        <v>6</v>
      </c>
      <c r="I70" s="1">
        <v>0</v>
      </c>
      <c r="J70" s="1" t="s">
        <v>33</v>
      </c>
      <c r="K70" s="1"/>
      <c r="L70" s="1"/>
      <c r="M70" s="1"/>
      <c r="N70" s="1"/>
      <c r="O70" s="1"/>
    </row>
    <row r="71" spans="1:15">
      <c r="A71" s="1" t="s">
        <v>50</v>
      </c>
      <c r="B71" s="1">
        <v>1</v>
      </c>
      <c r="C71" s="1">
        <v>0</v>
      </c>
      <c r="D71" s="1" t="s">
        <v>33</v>
      </c>
      <c r="E71" s="1" t="s">
        <v>33</v>
      </c>
      <c r="F71" s="1" t="s">
        <v>33</v>
      </c>
      <c r="G71" s="1" t="s">
        <v>33</v>
      </c>
      <c r="H71" s="1">
        <v>5</v>
      </c>
      <c r="I71" s="1">
        <v>0</v>
      </c>
      <c r="J71" s="1" t="s">
        <v>33</v>
      </c>
      <c r="K71" s="1"/>
      <c r="L71" s="1"/>
      <c r="M71" s="1"/>
      <c r="N71" s="1"/>
      <c r="O71" s="1"/>
    </row>
    <row r="72" spans="1:15">
      <c r="A72" s="1" t="s">
        <v>50</v>
      </c>
      <c r="B72" s="1">
        <v>10</v>
      </c>
      <c r="C72" s="1">
        <v>9</v>
      </c>
      <c r="D72" s="1" t="s">
        <v>33</v>
      </c>
      <c r="E72" s="1" t="s">
        <v>33</v>
      </c>
      <c r="F72" s="1" t="s">
        <v>33</v>
      </c>
      <c r="G72" s="1" t="s">
        <v>33</v>
      </c>
      <c r="H72" s="1">
        <v>5</v>
      </c>
      <c r="I72" s="1">
        <v>0</v>
      </c>
      <c r="J72" s="1" t="s">
        <v>33</v>
      </c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60</v>
      </c>
      <c r="B74" s="1" t="s">
        <v>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62</v>
      </c>
      <c r="B75" s="1" t="s">
        <v>63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64</v>
      </c>
      <c r="B76" s="1" t="s">
        <v>65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66</v>
      </c>
      <c r="B77" s="1" t="s">
        <v>67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14</v>
      </c>
      <c r="B78" s="1" t="s">
        <v>68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69</v>
      </c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71</v>
      </c>
      <c r="B80" s="1" t="s">
        <v>72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73</v>
      </c>
      <c r="B81" s="1" t="s">
        <v>74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75</v>
      </c>
      <c r="B82" s="1" t="s">
        <v>95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77</v>
      </c>
      <c r="B83" s="1" t="s">
        <v>78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79</v>
      </c>
      <c r="B84" s="1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81</v>
      </c>
      <c r="B85" s="1" t="s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83</v>
      </c>
      <c r="B86" s="1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85</v>
      </c>
      <c r="B87" s="1" t="s">
        <v>86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87</v>
      </c>
      <c r="B88" s="1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89</v>
      </c>
      <c r="B89" s="1" t="s">
        <v>90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91</v>
      </c>
      <c r="B90" s="1" t="s">
        <v>92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</sheetData>
  <autoFilter ref="A8:O28" xr:uid="{00000000-0009-0000-0000-000003000000}"/>
  <phoneticPr fontId="4"/>
  <pageMargins left="0.75" right="0.75" top="1" bottom="1" header="0.5" footer="0.5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showGridLines="0" workbookViewId="0"/>
  </sheetViews>
  <sheetFormatPr baseColWidth="10" defaultColWidth="8.83203125" defaultRowHeight="14"/>
  <cols>
    <col min="1" max="1" width="20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3" customWidth="1"/>
    <col min="9" max="9" width="77" customWidth="1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8">
      <c r="A2" s="11" t="s">
        <v>98</v>
      </c>
      <c r="B2" s="10"/>
      <c r="C2" s="10"/>
      <c r="D2" s="10"/>
      <c r="E2" s="10"/>
      <c r="F2" s="10"/>
      <c r="G2" s="10"/>
      <c r="H2" s="10"/>
      <c r="I2" s="10"/>
    </row>
    <row r="3" spans="1:9">
      <c r="A3" s="10" t="s">
        <v>99</v>
      </c>
      <c r="B3" s="10"/>
      <c r="C3" s="10"/>
      <c r="D3" s="10"/>
      <c r="E3" s="10"/>
      <c r="F3" s="10"/>
      <c r="G3" s="10"/>
      <c r="H3" s="10"/>
      <c r="I3" s="10"/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 ht="30" customHeight="1">
      <c r="A5" s="12" t="s">
        <v>100</v>
      </c>
      <c r="B5" s="12" t="s">
        <v>101</v>
      </c>
      <c r="C5" s="12" t="s">
        <v>102</v>
      </c>
      <c r="D5" s="12" t="s">
        <v>103</v>
      </c>
      <c r="E5" s="12" t="s">
        <v>104</v>
      </c>
      <c r="F5" s="12" t="s">
        <v>105</v>
      </c>
      <c r="G5" s="12" t="s">
        <v>106</v>
      </c>
      <c r="H5" s="10"/>
      <c r="I5" s="12" t="s">
        <v>107</v>
      </c>
    </row>
    <row r="6" spans="1:9" ht="26" customHeight="1">
      <c r="A6" s="10" t="s">
        <v>0</v>
      </c>
      <c r="B6" s="10" t="s">
        <v>3</v>
      </c>
      <c r="C6" s="13">
        <v>0.5</v>
      </c>
      <c r="D6" s="14" t="s">
        <v>33</v>
      </c>
      <c r="E6" s="14" t="s">
        <v>33</v>
      </c>
      <c r="F6" s="13">
        <v>1.5</v>
      </c>
      <c r="G6" s="10" t="s">
        <v>5</v>
      </c>
      <c r="H6" s="10"/>
      <c r="I6" s="10" t="s">
        <v>108</v>
      </c>
    </row>
    <row r="7" spans="1:9" ht="26" customHeight="1">
      <c r="A7" s="10" t="s">
        <v>109</v>
      </c>
      <c r="B7" s="10" t="s">
        <v>109</v>
      </c>
      <c r="C7" s="13">
        <v>10</v>
      </c>
      <c r="D7" s="13">
        <v>1</v>
      </c>
      <c r="E7" s="13">
        <v>12.5</v>
      </c>
      <c r="F7" s="13">
        <v>50</v>
      </c>
      <c r="G7" s="10" t="s">
        <v>5</v>
      </c>
      <c r="H7" s="10"/>
      <c r="I7" s="10" t="s">
        <v>110</v>
      </c>
    </row>
    <row r="8" spans="1:9" ht="26" customHeight="1">
      <c r="A8" s="10" t="s">
        <v>93</v>
      </c>
      <c r="B8" s="10" t="s">
        <v>93</v>
      </c>
      <c r="C8" s="13">
        <v>4</v>
      </c>
      <c r="D8" s="13">
        <v>0.4</v>
      </c>
      <c r="E8" s="13">
        <v>5</v>
      </c>
      <c r="F8" s="13">
        <v>20</v>
      </c>
      <c r="G8" s="10" t="s">
        <v>5</v>
      </c>
      <c r="H8" s="10"/>
      <c r="I8" s="10" t="s">
        <v>111</v>
      </c>
    </row>
    <row r="9" spans="1:9" ht="26" customHeight="1">
      <c r="A9" s="10" t="s">
        <v>96</v>
      </c>
      <c r="B9" s="10" t="s">
        <v>96</v>
      </c>
      <c r="C9" s="13">
        <v>2</v>
      </c>
      <c r="D9" s="13">
        <v>0.2</v>
      </c>
      <c r="E9" s="13">
        <v>2.5</v>
      </c>
      <c r="F9" s="13">
        <v>12</v>
      </c>
      <c r="G9" s="10" t="s">
        <v>5</v>
      </c>
      <c r="H9" s="10"/>
      <c r="I9" s="10" t="s">
        <v>112</v>
      </c>
    </row>
    <row r="10" spans="1:9" ht="26" customHeight="1">
      <c r="A10" s="10" t="s">
        <v>97</v>
      </c>
      <c r="B10" s="10" t="s">
        <v>97</v>
      </c>
      <c r="C10" s="13">
        <v>0.2</v>
      </c>
      <c r="D10" s="13">
        <v>0.02</v>
      </c>
      <c r="E10" s="13">
        <v>0.25</v>
      </c>
      <c r="F10" s="13">
        <v>1.2</v>
      </c>
      <c r="G10" s="10" t="s">
        <v>5</v>
      </c>
      <c r="H10" s="10"/>
      <c r="I10" s="10" t="s">
        <v>113</v>
      </c>
    </row>
    <row r="11" spans="1:9">
      <c r="A11" s="10"/>
      <c r="B11" s="10"/>
      <c r="C11" s="10"/>
      <c r="D11" s="10"/>
      <c r="E11" s="10"/>
      <c r="F11" s="10"/>
      <c r="G11" s="10"/>
      <c r="H11" s="10"/>
      <c r="I11" s="10"/>
    </row>
    <row r="12" spans="1:9">
      <c r="A12" s="10" t="s">
        <v>114</v>
      </c>
      <c r="B12" s="10"/>
      <c r="C12" s="10"/>
      <c r="D12" s="10"/>
      <c r="E12" s="10"/>
      <c r="F12" s="10"/>
      <c r="G12" s="10"/>
      <c r="H12" s="10"/>
      <c r="I12" s="10"/>
    </row>
    <row r="13" spans="1:9">
      <c r="A13" s="10" t="s">
        <v>115</v>
      </c>
      <c r="B13" s="10"/>
      <c r="C13" s="10"/>
      <c r="D13" s="10"/>
      <c r="E13" s="10"/>
      <c r="F13" s="10"/>
      <c r="G13" s="10"/>
      <c r="H13" s="10"/>
      <c r="I13" s="10"/>
    </row>
    <row r="14" spans="1:9">
      <c r="A14" s="10" t="s">
        <v>116</v>
      </c>
      <c r="B14" s="10"/>
      <c r="C14" s="10"/>
      <c r="D14" s="10"/>
      <c r="E14" s="10"/>
      <c r="F14" s="10"/>
      <c r="G14" s="10"/>
      <c r="H14" s="10"/>
      <c r="I14" s="10"/>
    </row>
    <row r="15" spans="1:9">
      <c r="A15" s="10" t="s">
        <v>117</v>
      </c>
      <c r="B15" s="10"/>
      <c r="C15" s="10"/>
      <c r="D15" s="10"/>
      <c r="E15" s="10"/>
      <c r="F15" s="10"/>
      <c r="G15" s="10"/>
      <c r="H15" s="10"/>
      <c r="I15" s="10"/>
    </row>
  </sheetData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34" customWidth="1"/>
    <col min="2" max="3" width="23" customWidth="1"/>
    <col min="4" max="4" width="22" customWidth="1"/>
    <col min="5" max="7" width="20" customWidth="1"/>
    <col min="8" max="8" width="35" customWidth="1"/>
    <col min="9" max="10" width="29" customWidth="1"/>
    <col min="11" max="11" width="23" customWidth="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>
      <c r="A2" s="11" t="s">
        <v>118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10" t="s">
        <v>119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44" customHeight="1">
      <c r="A5" s="4" t="s">
        <v>13</v>
      </c>
      <c r="B5" s="4" t="s">
        <v>120</v>
      </c>
      <c r="C5" s="4" t="s">
        <v>121</v>
      </c>
      <c r="D5" s="4" t="s">
        <v>122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128</v>
      </c>
      <c r="K5" s="10"/>
    </row>
    <row r="6" spans="1:11" ht="25" customHeight="1">
      <c r="A6" s="8" t="s">
        <v>28</v>
      </c>
      <c r="B6" s="8" t="s">
        <v>129</v>
      </c>
      <c r="C6" s="15">
        <v>5</v>
      </c>
      <c r="D6" s="15">
        <v>399</v>
      </c>
      <c r="E6" s="16">
        <v>79.8</v>
      </c>
      <c r="F6" s="15">
        <v>69</v>
      </c>
      <c r="G6" s="15">
        <v>90</v>
      </c>
      <c r="H6" s="15">
        <v>6</v>
      </c>
      <c r="I6" s="15">
        <v>1</v>
      </c>
      <c r="J6" s="15">
        <v>1</v>
      </c>
      <c r="K6" s="10"/>
    </row>
    <row r="7" spans="1:11" ht="25" customHeight="1">
      <c r="A7" s="8" t="s">
        <v>30</v>
      </c>
      <c r="B7" s="8" t="s">
        <v>129</v>
      </c>
      <c r="C7" s="15">
        <v>10</v>
      </c>
      <c r="D7" s="15">
        <v>1041</v>
      </c>
      <c r="E7" s="16">
        <v>104.1</v>
      </c>
      <c r="F7" s="15">
        <v>88</v>
      </c>
      <c r="G7" s="15">
        <v>112</v>
      </c>
      <c r="H7" s="15">
        <v>2</v>
      </c>
      <c r="I7" s="15">
        <v>1</v>
      </c>
      <c r="J7" s="15">
        <v>1</v>
      </c>
      <c r="K7" s="10"/>
    </row>
    <row r="8" spans="1:11" ht="25" customHeight="1">
      <c r="A8" s="8" t="s">
        <v>31</v>
      </c>
      <c r="B8" s="8" t="s">
        <v>129</v>
      </c>
      <c r="C8" s="15">
        <v>10</v>
      </c>
      <c r="D8" s="15">
        <v>2000</v>
      </c>
      <c r="E8" s="16">
        <v>200</v>
      </c>
      <c r="F8" s="15">
        <v>200</v>
      </c>
      <c r="G8" s="15">
        <v>200</v>
      </c>
      <c r="H8" s="15">
        <v>3</v>
      </c>
      <c r="I8" s="15">
        <v>1</v>
      </c>
      <c r="J8" s="15">
        <v>1</v>
      </c>
      <c r="K8" s="10"/>
    </row>
    <row r="9" spans="1:11" ht="25" customHeight="1">
      <c r="A9" s="8" t="s">
        <v>32</v>
      </c>
      <c r="B9" s="8" t="s">
        <v>129</v>
      </c>
      <c r="C9" s="15">
        <v>2</v>
      </c>
      <c r="D9" s="15">
        <v>144</v>
      </c>
      <c r="E9" s="16">
        <v>72</v>
      </c>
      <c r="F9" s="15">
        <v>70</v>
      </c>
      <c r="G9" s="15">
        <v>74</v>
      </c>
      <c r="H9" s="15">
        <v>24</v>
      </c>
      <c r="I9" s="15">
        <v>4</v>
      </c>
      <c r="J9" s="15">
        <v>1</v>
      </c>
      <c r="K9" s="10"/>
    </row>
    <row r="10" spans="1:11" ht="25" customHeight="1">
      <c r="A10" s="8" t="s">
        <v>35</v>
      </c>
      <c r="B10" s="8" t="s">
        <v>129</v>
      </c>
      <c r="C10" s="15">
        <v>5</v>
      </c>
      <c r="D10" s="15">
        <v>2500</v>
      </c>
      <c r="E10" s="16">
        <v>500</v>
      </c>
      <c r="F10" s="15">
        <v>500</v>
      </c>
      <c r="G10" s="15">
        <v>500</v>
      </c>
      <c r="H10" s="15">
        <v>4</v>
      </c>
      <c r="I10" s="15">
        <v>1</v>
      </c>
      <c r="J10" s="15">
        <v>1</v>
      </c>
      <c r="K10" s="10"/>
    </row>
    <row r="11" spans="1:11" ht="25" customHeight="1">
      <c r="A11" s="8" t="s">
        <v>36</v>
      </c>
      <c r="B11" s="8" t="s">
        <v>130</v>
      </c>
      <c r="C11" s="15">
        <v>10</v>
      </c>
      <c r="D11" s="15">
        <v>500</v>
      </c>
      <c r="E11" s="16">
        <v>50</v>
      </c>
      <c r="F11" s="15">
        <v>50</v>
      </c>
      <c r="G11" s="15">
        <v>50</v>
      </c>
      <c r="H11" s="15">
        <v>26</v>
      </c>
      <c r="I11" s="15">
        <v>4</v>
      </c>
      <c r="J11" s="15">
        <v>1</v>
      </c>
      <c r="K11" s="10"/>
    </row>
    <row r="12" spans="1:11" ht="25" customHeight="1">
      <c r="A12" s="8" t="s">
        <v>37</v>
      </c>
      <c r="B12" s="8" t="s">
        <v>130</v>
      </c>
      <c r="C12" s="15">
        <v>10</v>
      </c>
      <c r="D12" s="15">
        <v>500</v>
      </c>
      <c r="E12" s="16">
        <v>50</v>
      </c>
      <c r="F12" s="15">
        <v>50</v>
      </c>
      <c r="G12" s="15">
        <v>50</v>
      </c>
      <c r="H12" s="15">
        <v>26</v>
      </c>
      <c r="I12" s="15">
        <v>4</v>
      </c>
      <c r="J12" s="15">
        <v>1</v>
      </c>
      <c r="K12" s="10"/>
    </row>
    <row r="13" spans="1:11" ht="25" customHeight="1">
      <c r="A13" s="8" t="s">
        <v>38</v>
      </c>
      <c r="B13" s="8" t="s">
        <v>130</v>
      </c>
      <c r="C13" s="15">
        <v>10</v>
      </c>
      <c r="D13" s="15">
        <v>500</v>
      </c>
      <c r="E13" s="16">
        <v>50</v>
      </c>
      <c r="F13" s="15">
        <v>50</v>
      </c>
      <c r="G13" s="15">
        <v>50</v>
      </c>
      <c r="H13" s="15">
        <v>26</v>
      </c>
      <c r="I13" s="15">
        <v>4</v>
      </c>
      <c r="J13" s="15">
        <v>1</v>
      </c>
      <c r="K13" s="10"/>
    </row>
    <row r="14" spans="1:11" ht="25" customHeight="1">
      <c r="A14" s="8" t="s">
        <v>39</v>
      </c>
      <c r="B14" s="8" t="s">
        <v>131</v>
      </c>
      <c r="C14" s="15">
        <v>3</v>
      </c>
      <c r="D14" s="15">
        <v>3000</v>
      </c>
      <c r="E14" s="16">
        <v>1000</v>
      </c>
      <c r="F14" s="15">
        <v>1000</v>
      </c>
      <c r="G14" s="15">
        <v>1000</v>
      </c>
      <c r="H14" s="15">
        <v>17</v>
      </c>
      <c r="I14" s="15">
        <v>6</v>
      </c>
      <c r="J14" s="15">
        <v>1</v>
      </c>
      <c r="K14" s="10"/>
    </row>
    <row r="15" spans="1:11" ht="25" customHeight="1">
      <c r="A15" s="8" t="s">
        <v>40</v>
      </c>
      <c r="B15" s="8" t="s">
        <v>129</v>
      </c>
      <c r="C15" s="15">
        <v>10</v>
      </c>
      <c r="D15" s="15">
        <v>538</v>
      </c>
      <c r="E15" s="16">
        <v>53.8</v>
      </c>
      <c r="F15" s="15">
        <v>31</v>
      </c>
      <c r="G15" s="15">
        <v>135</v>
      </c>
      <c r="H15" s="15">
        <v>11</v>
      </c>
      <c r="I15" s="15">
        <v>1</v>
      </c>
      <c r="J15" s="15">
        <v>1</v>
      </c>
      <c r="K15" s="10"/>
    </row>
    <row r="16" spans="1:11" ht="25" customHeight="1">
      <c r="A16" s="8" t="s">
        <v>41</v>
      </c>
      <c r="B16" s="8" t="s">
        <v>129</v>
      </c>
      <c r="C16" s="15">
        <v>5</v>
      </c>
      <c r="D16" s="15">
        <v>1419</v>
      </c>
      <c r="E16" s="16">
        <v>283.8</v>
      </c>
      <c r="F16" s="15">
        <v>5</v>
      </c>
      <c r="G16" s="15">
        <v>1000</v>
      </c>
      <c r="H16" s="15">
        <v>4</v>
      </c>
      <c r="I16" s="15">
        <v>1</v>
      </c>
      <c r="J16" s="15">
        <v>1</v>
      </c>
      <c r="K16" s="10"/>
    </row>
    <row r="17" spans="1:11" ht="25" customHeight="1">
      <c r="A17" s="8" t="s">
        <v>42</v>
      </c>
      <c r="B17" s="8" t="s">
        <v>129</v>
      </c>
      <c r="C17" s="15">
        <v>3</v>
      </c>
      <c r="D17" s="15">
        <v>744</v>
      </c>
      <c r="E17" s="16">
        <v>248</v>
      </c>
      <c r="F17" s="15">
        <v>246</v>
      </c>
      <c r="G17" s="15">
        <v>252</v>
      </c>
      <c r="H17" s="15">
        <v>8</v>
      </c>
      <c r="I17" s="15">
        <v>1</v>
      </c>
      <c r="J17" s="15">
        <v>1</v>
      </c>
      <c r="K17" s="10"/>
    </row>
    <row r="18" spans="1:11" ht="25" customHeight="1">
      <c r="A18" s="8" t="s">
        <v>43</v>
      </c>
      <c r="B18" s="8" t="s">
        <v>132</v>
      </c>
      <c r="C18" s="15">
        <v>24</v>
      </c>
      <c r="D18" s="15">
        <v>226</v>
      </c>
      <c r="E18" s="16">
        <v>9.4166666666666661</v>
      </c>
      <c r="F18" s="15">
        <v>7</v>
      </c>
      <c r="G18" s="15">
        <v>13</v>
      </c>
      <c r="H18" s="15">
        <v>147</v>
      </c>
      <c r="I18" s="15">
        <v>1</v>
      </c>
      <c r="J18" s="15">
        <v>1</v>
      </c>
      <c r="K18" s="10"/>
    </row>
    <row r="19" spans="1:11" ht="25" customHeight="1">
      <c r="A19" s="8" t="s">
        <v>44</v>
      </c>
      <c r="B19" s="8" t="s">
        <v>132</v>
      </c>
      <c r="C19" s="15">
        <v>11</v>
      </c>
      <c r="D19" s="15">
        <v>30</v>
      </c>
      <c r="E19" s="16">
        <v>2.7272727272727271</v>
      </c>
      <c r="F19" s="15">
        <v>1</v>
      </c>
      <c r="G19" s="15">
        <v>6</v>
      </c>
      <c r="H19" s="15">
        <v>147</v>
      </c>
      <c r="I19" s="15">
        <v>1</v>
      </c>
      <c r="J19" s="15">
        <v>1</v>
      </c>
      <c r="K19" s="10"/>
    </row>
    <row r="20" spans="1:11" ht="25" customHeight="1">
      <c r="A20" s="8" t="s">
        <v>45</v>
      </c>
      <c r="B20" s="8" t="s">
        <v>132</v>
      </c>
      <c r="C20" s="15">
        <v>17</v>
      </c>
      <c r="D20" s="15">
        <v>210</v>
      </c>
      <c r="E20" s="16">
        <v>12.352941176470591</v>
      </c>
      <c r="F20" s="15">
        <v>1</v>
      </c>
      <c r="G20" s="15">
        <v>125</v>
      </c>
      <c r="H20" s="15">
        <v>147</v>
      </c>
      <c r="I20" s="15">
        <v>1</v>
      </c>
      <c r="J20" s="15">
        <v>1</v>
      </c>
      <c r="K20" s="10"/>
    </row>
    <row r="21" spans="1:11" ht="25" customHeight="1">
      <c r="A21" s="8" t="s">
        <v>46</v>
      </c>
      <c r="B21" s="8" t="s">
        <v>132</v>
      </c>
      <c r="C21" s="15">
        <v>5</v>
      </c>
      <c r="D21" s="15">
        <v>307</v>
      </c>
      <c r="E21" s="16">
        <v>61.4</v>
      </c>
      <c r="F21" s="15">
        <v>3</v>
      </c>
      <c r="G21" s="15">
        <v>100</v>
      </c>
      <c r="H21" s="15">
        <v>147</v>
      </c>
      <c r="I21" s="15">
        <v>1</v>
      </c>
      <c r="J21" s="15">
        <v>1</v>
      </c>
      <c r="K21" s="10"/>
    </row>
    <row r="22" spans="1:11" ht="25" customHeight="1">
      <c r="A22" s="8" t="s">
        <v>47</v>
      </c>
      <c r="B22" s="8" t="s">
        <v>132</v>
      </c>
      <c r="C22" s="15">
        <v>11</v>
      </c>
      <c r="D22" s="15">
        <v>162</v>
      </c>
      <c r="E22" s="16">
        <v>14.72727272727273</v>
      </c>
      <c r="F22" s="15">
        <v>14</v>
      </c>
      <c r="G22" s="15">
        <v>15</v>
      </c>
      <c r="H22" s="15">
        <v>147</v>
      </c>
      <c r="I22" s="15">
        <v>1</v>
      </c>
      <c r="J22" s="15">
        <v>1</v>
      </c>
      <c r="K22" s="10"/>
    </row>
    <row r="23" spans="1:11" ht="25" customHeight="1">
      <c r="A23" s="8" t="s">
        <v>48</v>
      </c>
      <c r="B23" s="8" t="s">
        <v>132</v>
      </c>
      <c r="C23" s="15">
        <v>10</v>
      </c>
      <c r="D23" s="15">
        <v>130</v>
      </c>
      <c r="E23" s="16">
        <v>13</v>
      </c>
      <c r="F23" s="15">
        <v>9</v>
      </c>
      <c r="G23" s="15">
        <v>22</v>
      </c>
      <c r="H23" s="15">
        <v>147</v>
      </c>
      <c r="I23" s="15">
        <v>1</v>
      </c>
      <c r="J23" s="15">
        <v>1</v>
      </c>
      <c r="K23" s="10"/>
    </row>
    <row r="24" spans="1:11" ht="25" customHeight="1">
      <c r="A24" s="8" t="s">
        <v>49</v>
      </c>
      <c r="B24" s="8" t="s">
        <v>131</v>
      </c>
      <c r="C24" s="15">
        <v>6</v>
      </c>
      <c r="D24" s="15">
        <v>600</v>
      </c>
      <c r="E24" s="16">
        <v>100</v>
      </c>
      <c r="F24" s="15">
        <v>100</v>
      </c>
      <c r="G24" s="15">
        <v>100</v>
      </c>
      <c r="H24" s="15">
        <v>23</v>
      </c>
      <c r="I24" s="15">
        <v>7</v>
      </c>
      <c r="J24" s="15">
        <v>1</v>
      </c>
      <c r="K24" s="10"/>
    </row>
    <row r="25" spans="1:11" ht="25" customHeight="1">
      <c r="A25" s="8" t="s">
        <v>50</v>
      </c>
      <c r="B25" s="8" t="s">
        <v>131</v>
      </c>
      <c r="C25" s="15">
        <v>5</v>
      </c>
      <c r="D25" s="15">
        <v>250</v>
      </c>
      <c r="E25" s="16">
        <v>50</v>
      </c>
      <c r="F25" s="15">
        <v>50</v>
      </c>
      <c r="G25" s="15">
        <v>50</v>
      </c>
      <c r="H25" s="15">
        <v>11</v>
      </c>
      <c r="I25" s="15">
        <v>2</v>
      </c>
      <c r="J25" s="15">
        <v>1</v>
      </c>
      <c r="K25" s="10"/>
    </row>
    <row r="26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44" customHeight="1">
      <c r="A29" s="4" t="s">
        <v>13</v>
      </c>
      <c r="B29" s="4" t="s">
        <v>133</v>
      </c>
      <c r="C29" s="4" t="s">
        <v>134</v>
      </c>
      <c r="D29" s="4" t="s">
        <v>135</v>
      </c>
      <c r="E29" s="4" t="s">
        <v>136</v>
      </c>
      <c r="F29" s="4" t="s">
        <v>137</v>
      </c>
      <c r="G29" s="4" t="s">
        <v>138</v>
      </c>
      <c r="H29" s="4" t="s">
        <v>139</v>
      </c>
      <c r="I29" s="4" t="s">
        <v>140</v>
      </c>
      <c r="J29" s="4" t="s">
        <v>141</v>
      </c>
      <c r="K29" s="4" t="s">
        <v>142</v>
      </c>
    </row>
    <row r="30" spans="1:11" ht="42" customHeight="1">
      <c r="A30" s="8" t="s">
        <v>28</v>
      </c>
      <c r="B30" s="8" t="s">
        <v>143</v>
      </c>
      <c r="C30" s="8" t="s">
        <v>144</v>
      </c>
      <c r="D30" s="8" t="s">
        <v>144</v>
      </c>
      <c r="E30" s="8" t="s">
        <v>145</v>
      </c>
      <c r="F30" s="8" t="s">
        <v>146</v>
      </c>
      <c r="G30" s="8" t="s">
        <v>147</v>
      </c>
      <c r="H30" s="8" t="s">
        <v>148</v>
      </c>
      <c r="I30" s="15">
        <v>21080</v>
      </c>
      <c r="J30" s="8" t="b">
        <v>1</v>
      </c>
      <c r="K30" s="8" t="s">
        <v>149</v>
      </c>
    </row>
    <row r="31" spans="1:11" ht="42" customHeight="1">
      <c r="A31" s="8" t="s">
        <v>30</v>
      </c>
      <c r="B31" s="8" t="s">
        <v>150</v>
      </c>
      <c r="C31" s="8" t="s">
        <v>144</v>
      </c>
      <c r="D31" s="8" t="s">
        <v>144</v>
      </c>
      <c r="E31" s="8" t="s">
        <v>145</v>
      </c>
      <c r="F31" s="8" t="s">
        <v>146</v>
      </c>
      <c r="G31" s="8" t="s">
        <v>147</v>
      </c>
      <c r="H31" s="8" t="s">
        <v>148</v>
      </c>
      <c r="I31" s="15">
        <v>35224</v>
      </c>
      <c r="J31" s="8" t="b">
        <v>1</v>
      </c>
      <c r="K31" s="8" t="s">
        <v>149</v>
      </c>
    </row>
    <row r="32" spans="1:11" ht="42" customHeight="1">
      <c r="A32" s="8" t="s">
        <v>31</v>
      </c>
      <c r="B32" s="8" t="s">
        <v>151</v>
      </c>
      <c r="C32" s="8" t="s">
        <v>152</v>
      </c>
      <c r="D32" s="8" t="s">
        <v>144</v>
      </c>
      <c r="E32" s="8" t="s">
        <v>145</v>
      </c>
      <c r="F32" s="8" t="s">
        <v>145</v>
      </c>
      <c r="G32" s="8" t="s">
        <v>147</v>
      </c>
      <c r="H32" s="8" t="s">
        <v>148</v>
      </c>
      <c r="I32" s="15">
        <v>58240</v>
      </c>
      <c r="J32" s="8" t="b">
        <v>1</v>
      </c>
      <c r="K32" s="8" t="s">
        <v>153</v>
      </c>
    </row>
    <row r="33" spans="1:11" ht="42" customHeight="1">
      <c r="A33" s="8" t="s">
        <v>32</v>
      </c>
      <c r="B33" s="8" t="s">
        <v>154</v>
      </c>
      <c r="C33" s="8" t="s">
        <v>155</v>
      </c>
      <c r="D33" s="8" t="s">
        <v>144</v>
      </c>
      <c r="E33" s="8" t="s">
        <v>145</v>
      </c>
      <c r="F33" s="8" t="s">
        <v>145</v>
      </c>
      <c r="G33" s="8" t="s">
        <v>147</v>
      </c>
      <c r="H33" s="8" t="s">
        <v>148</v>
      </c>
      <c r="I33" s="15">
        <v>19328</v>
      </c>
      <c r="J33" s="8" t="b">
        <v>1</v>
      </c>
      <c r="K33" s="8" t="s">
        <v>153</v>
      </c>
    </row>
    <row r="34" spans="1:11" ht="42" customHeight="1">
      <c r="A34" s="8" t="s">
        <v>35</v>
      </c>
      <c r="B34" s="8" t="s">
        <v>155</v>
      </c>
      <c r="C34" s="8" t="s">
        <v>144</v>
      </c>
      <c r="D34" s="8" t="s">
        <v>144</v>
      </c>
      <c r="E34" s="8" t="s">
        <v>145</v>
      </c>
      <c r="F34" s="8" t="s">
        <v>146</v>
      </c>
      <c r="G34" s="8" t="s">
        <v>147</v>
      </c>
      <c r="H34" s="8" t="s">
        <v>148</v>
      </c>
      <c r="I34" s="15">
        <v>85120</v>
      </c>
      <c r="J34" s="8" t="b">
        <v>1</v>
      </c>
      <c r="K34" s="8" t="s">
        <v>149</v>
      </c>
    </row>
    <row r="35" spans="1:11" ht="42" customHeight="1">
      <c r="A35" s="8" t="s">
        <v>36</v>
      </c>
      <c r="B35" s="8" t="s">
        <v>156</v>
      </c>
      <c r="C35" s="8" t="s">
        <v>155</v>
      </c>
      <c r="D35" s="8" t="s">
        <v>144</v>
      </c>
      <c r="E35" s="8" t="s">
        <v>147</v>
      </c>
      <c r="F35" s="8" t="s">
        <v>145</v>
      </c>
      <c r="G35" s="8" t="s">
        <v>145</v>
      </c>
      <c r="H35" s="8" t="s">
        <v>157</v>
      </c>
      <c r="I35" s="15">
        <v>153460</v>
      </c>
      <c r="J35" s="8" t="b">
        <v>1</v>
      </c>
      <c r="K35" s="8" t="s">
        <v>153</v>
      </c>
    </row>
    <row r="36" spans="1:11" ht="42" customHeight="1">
      <c r="A36" s="8" t="s">
        <v>37</v>
      </c>
      <c r="B36" s="8" t="s">
        <v>156</v>
      </c>
      <c r="C36" s="8" t="s">
        <v>155</v>
      </c>
      <c r="D36" s="8" t="s">
        <v>144</v>
      </c>
      <c r="E36" s="8" t="s">
        <v>147</v>
      </c>
      <c r="F36" s="8" t="s">
        <v>145</v>
      </c>
      <c r="G36" s="8" t="s">
        <v>145</v>
      </c>
      <c r="H36" s="8" t="s">
        <v>157</v>
      </c>
      <c r="I36" s="15">
        <v>153460</v>
      </c>
      <c r="J36" s="8" t="b">
        <v>1</v>
      </c>
      <c r="K36" s="8" t="s">
        <v>153</v>
      </c>
    </row>
    <row r="37" spans="1:11" ht="42" customHeight="1">
      <c r="A37" s="8" t="s">
        <v>38</v>
      </c>
      <c r="B37" s="8" t="s">
        <v>156</v>
      </c>
      <c r="C37" s="8" t="s">
        <v>155</v>
      </c>
      <c r="D37" s="8" t="s">
        <v>144</v>
      </c>
      <c r="E37" s="8" t="s">
        <v>147</v>
      </c>
      <c r="F37" s="8" t="s">
        <v>145</v>
      </c>
      <c r="G37" s="8" t="s">
        <v>145</v>
      </c>
      <c r="H37" s="8" t="s">
        <v>157</v>
      </c>
      <c r="I37" s="15">
        <v>153460</v>
      </c>
      <c r="J37" s="8" t="b">
        <v>1</v>
      </c>
      <c r="K37" s="8" t="s">
        <v>153</v>
      </c>
    </row>
    <row r="38" spans="1:11" ht="42" customHeight="1">
      <c r="A38" s="8" t="s">
        <v>39</v>
      </c>
      <c r="B38" s="8" t="s">
        <v>158</v>
      </c>
      <c r="C38" s="8" t="s">
        <v>143</v>
      </c>
      <c r="D38" s="8" t="s">
        <v>144</v>
      </c>
      <c r="E38" s="8" t="s">
        <v>147</v>
      </c>
      <c r="F38" s="8" t="s">
        <v>145</v>
      </c>
      <c r="G38" s="8" t="s">
        <v>147</v>
      </c>
      <c r="H38" s="8" t="s">
        <v>148</v>
      </c>
      <c r="I38" s="15">
        <v>507072</v>
      </c>
      <c r="J38" s="8" t="b">
        <v>1</v>
      </c>
      <c r="K38" s="8" t="s">
        <v>153</v>
      </c>
    </row>
    <row r="39" spans="1:11" ht="42" customHeight="1">
      <c r="A39" s="8" t="s">
        <v>40</v>
      </c>
      <c r="B39" s="8" t="s">
        <v>159</v>
      </c>
      <c r="C39" s="8" t="s">
        <v>152</v>
      </c>
      <c r="D39" s="8" t="s">
        <v>144</v>
      </c>
      <c r="E39" s="8" t="s">
        <v>147</v>
      </c>
      <c r="F39" s="8" t="s">
        <v>145</v>
      </c>
      <c r="G39" s="8" t="s">
        <v>147</v>
      </c>
      <c r="H39" s="8" t="s">
        <v>148</v>
      </c>
      <c r="I39" s="15">
        <v>64040</v>
      </c>
      <c r="J39" s="8" t="b">
        <v>1</v>
      </c>
      <c r="K39" s="8" t="s">
        <v>153</v>
      </c>
    </row>
    <row r="40" spans="1:11" ht="42" customHeight="1">
      <c r="A40" s="8" t="s">
        <v>41</v>
      </c>
      <c r="B40" s="8" t="s">
        <v>155</v>
      </c>
      <c r="C40" s="8" t="s">
        <v>152</v>
      </c>
      <c r="D40" s="8" t="s">
        <v>144</v>
      </c>
      <c r="E40" s="8" t="s">
        <v>147</v>
      </c>
      <c r="F40" s="8" t="s">
        <v>145</v>
      </c>
      <c r="G40" s="8" t="s">
        <v>147</v>
      </c>
      <c r="H40" s="8" t="s">
        <v>148</v>
      </c>
      <c r="I40" s="15">
        <v>67556</v>
      </c>
      <c r="J40" s="8" t="b">
        <v>1</v>
      </c>
      <c r="K40" s="8" t="s">
        <v>153</v>
      </c>
    </row>
    <row r="41" spans="1:11" ht="42" customHeight="1">
      <c r="A41" s="8" t="s">
        <v>42</v>
      </c>
      <c r="B41" s="8" t="s">
        <v>160</v>
      </c>
      <c r="C41" s="8" t="s">
        <v>144</v>
      </c>
      <c r="D41" s="8" t="s">
        <v>144</v>
      </c>
      <c r="E41" s="8" t="s">
        <v>145</v>
      </c>
      <c r="F41" s="8" t="s">
        <v>146</v>
      </c>
      <c r="G41" s="8" t="s">
        <v>147</v>
      </c>
      <c r="H41" s="8" t="s">
        <v>148</v>
      </c>
      <c r="I41" s="15">
        <v>38784</v>
      </c>
      <c r="J41" s="8" t="b">
        <v>1</v>
      </c>
      <c r="K41" s="8" t="s">
        <v>149</v>
      </c>
    </row>
    <row r="42" spans="1:11" ht="42" customHeight="1">
      <c r="A42" s="8" t="s">
        <v>43</v>
      </c>
      <c r="B42" s="8" t="s">
        <v>161</v>
      </c>
      <c r="C42" s="8" t="s">
        <v>144</v>
      </c>
      <c r="D42" s="8" t="s">
        <v>144</v>
      </c>
      <c r="E42" s="8" t="s">
        <v>162</v>
      </c>
      <c r="F42" s="8" t="s">
        <v>146</v>
      </c>
      <c r="G42" s="8" t="s">
        <v>145</v>
      </c>
      <c r="H42" s="8" t="s">
        <v>163</v>
      </c>
      <c r="I42" s="15">
        <v>78174</v>
      </c>
      <c r="J42" s="8" t="b">
        <v>1</v>
      </c>
      <c r="K42" s="8" t="s">
        <v>149</v>
      </c>
    </row>
    <row r="43" spans="1:11" ht="42" customHeight="1">
      <c r="A43" s="8" t="s">
        <v>44</v>
      </c>
      <c r="B43" s="8" t="s">
        <v>161</v>
      </c>
      <c r="C43" s="8" t="s">
        <v>144</v>
      </c>
      <c r="D43" s="8" t="s">
        <v>144</v>
      </c>
      <c r="E43" s="8" t="s">
        <v>162</v>
      </c>
      <c r="F43" s="8" t="s">
        <v>146</v>
      </c>
      <c r="G43" s="8" t="s">
        <v>145</v>
      </c>
      <c r="H43" s="8" t="s">
        <v>163</v>
      </c>
      <c r="I43" s="15">
        <v>22364</v>
      </c>
      <c r="J43" s="8" t="b">
        <v>1</v>
      </c>
      <c r="K43" s="8" t="s">
        <v>149</v>
      </c>
    </row>
    <row r="44" spans="1:11" ht="42" customHeight="1">
      <c r="A44" s="8" t="s">
        <v>45</v>
      </c>
      <c r="B44" s="8" t="s">
        <v>161</v>
      </c>
      <c r="C44" s="8" t="s">
        <v>144</v>
      </c>
      <c r="D44" s="8" t="s">
        <v>144</v>
      </c>
      <c r="E44" s="8" t="s">
        <v>162</v>
      </c>
      <c r="F44" s="8" t="s">
        <v>146</v>
      </c>
      <c r="G44" s="8" t="s">
        <v>145</v>
      </c>
      <c r="H44" s="8" t="s">
        <v>163</v>
      </c>
      <c r="I44" s="15">
        <v>64508</v>
      </c>
      <c r="J44" s="8" t="b">
        <v>1</v>
      </c>
      <c r="K44" s="8" t="s">
        <v>149</v>
      </c>
    </row>
    <row r="45" spans="1:11" ht="42" customHeight="1">
      <c r="A45" s="8" t="s">
        <v>46</v>
      </c>
      <c r="B45" s="8" t="s">
        <v>161</v>
      </c>
      <c r="C45" s="8" t="s">
        <v>144</v>
      </c>
      <c r="D45" s="8" t="s">
        <v>144</v>
      </c>
      <c r="E45" s="8" t="s">
        <v>162</v>
      </c>
      <c r="F45" s="8" t="s">
        <v>146</v>
      </c>
      <c r="G45" s="8" t="s">
        <v>145</v>
      </c>
      <c r="H45" s="8" t="s">
        <v>163</v>
      </c>
      <c r="I45" s="15">
        <v>63851</v>
      </c>
      <c r="J45" s="8" t="b">
        <v>1</v>
      </c>
      <c r="K45" s="8" t="s">
        <v>149</v>
      </c>
    </row>
    <row r="46" spans="1:11" ht="42" customHeight="1">
      <c r="A46" s="8" t="s">
        <v>47</v>
      </c>
      <c r="B46" s="8" t="s">
        <v>161</v>
      </c>
      <c r="C46" s="8" t="s">
        <v>144</v>
      </c>
      <c r="D46" s="8" t="s">
        <v>144</v>
      </c>
      <c r="E46" s="8" t="s">
        <v>162</v>
      </c>
      <c r="F46" s="8" t="s">
        <v>146</v>
      </c>
      <c r="G46" s="8" t="s">
        <v>145</v>
      </c>
      <c r="H46" s="8" t="s">
        <v>163</v>
      </c>
      <c r="I46" s="15">
        <v>46520</v>
      </c>
      <c r="J46" s="8" t="b">
        <v>1</v>
      </c>
      <c r="K46" s="8" t="s">
        <v>149</v>
      </c>
    </row>
    <row r="47" spans="1:11" ht="42" customHeight="1">
      <c r="A47" s="8" t="s">
        <v>48</v>
      </c>
      <c r="B47" s="8" t="s">
        <v>161</v>
      </c>
      <c r="C47" s="8" t="s">
        <v>144</v>
      </c>
      <c r="D47" s="8" t="s">
        <v>144</v>
      </c>
      <c r="E47" s="8" t="s">
        <v>162</v>
      </c>
      <c r="F47" s="8" t="s">
        <v>146</v>
      </c>
      <c r="G47" s="8" t="s">
        <v>145</v>
      </c>
      <c r="H47" s="8" t="s">
        <v>163</v>
      </c>
      <c r="I47" s="15">
        <v>39130</v>
      </c>
      <c r="J47" s="8" t="b">
        <v>1</v>
      </c>
      <c r="K47" s="8" t="s">
        <v>149</v>
      </c>
    </row>
    <row r="48" spans="1:11" ht="42" customHeight="1">
      <c r="A48" s="8" t="s">
        <v>49</v>
      </c>
      <c r="B48" s="8" t="s">
        <v>164</v>
      </c>
      <c r="C48" s="8" t="s">
        <v>165</v>
      </c>
      <c r="D48" s="8" t="s">
        <v>144</v>
      </c>
      <c r="E48" s="8" t="s">
        <v>147</v>
      </c>
      <c r="F48" s="8" t="s">
        <v>145</v>
      </c>
      <c r="G48" s="8" t="s">
        <v>147</v>
      </c>
      <c r="H48" s="8" t="s">
        <v>148</v>
      </c>
      <c r="I48" s="15">
        <v>138144</v>
      </c>
      <c r="J48" s="8" t="b">
        <v>1</v>
      </c>
      <c r="K48" s="8" t="s">
        <v>153</v>
      </c>
    </row>
    <row r="49" spans="1:11" ht="42" customHeight="1">
      <c r="A49" s="8" t="s">
        <v>50</v>
      </c>
      <c r="B49" s="8" t="s">
        <v>159</v>
      </c>
      <c r="C49" s="8" t="s">
        <v>150</v>
      </c>
      <c r="D49" s="8" t="s">
        <v>144</v>
      </c>
      <c r="E49" s="8" t="s">
        <v>147</v>
      </c>
      <c r="F49" s="8" t="s">
        <v>145</v>
      </c>
      <c r="G49" s="8" t="s">
        <v>147</v>
      </c>
      <c r="H49" s="8" t="s">
        <v>148</v>
      </c>
      <c r="I49" s="15">
        <v>31120</v>
      </c>
      <c r="J49" s="8" t="b">
        <v>1</v>
      </c>
      <c r="K49" s="8" t="s">
        <v>153</v>
      </c>
    </row>
    <row r="50" spans="1:1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>
      <c r="A52" s="10" t="s">
        <v>166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>
      <c r="A53" s="10" t="s">
        <v>167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>
      <c r="A54" s="10" t="s">
        <v>168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>
      <c r="A55" s="10" t="s">
        <v>169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>
      <c r="A56" s="10" t="s">
        <v>170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>
      <c r="A57" s="10" t="s">
        <v>171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>
      <c r="A58" s="10" t="s">
        <v>172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>
      <c r="A59" s="10" t="s">
        <v>173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</row>
  </sheetData>
  <autoFilter ref="A5:J25" xr:uid="{00000000-0009-0000-0000-000005000000}"/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chatGPT3.5</vt:lpstr>
      <vt:lpstr>gpt-5.6-sol</vt:lpstr>
      <vt:lpstr>Sheet1</vt:lpstr>
      <vt:lpstr>gpt-5.6-terra</vt:lpstr>
      <vt:lpstr>gpt-5.6-luna</vt:lpstr>
      <vt:lpstr>Model_Prices</vt:lpstr>
      <vt:lpstr>task description</vt:lpstr>
      <vt:lpstr>chatGPT3.5!Print_Titles</vt:lpstr>
      <vt:lpstr>'gpt-5.6-luna'!Print_Titles</vt:lpstr>
      <vt:lpstr>'gpt-5.6-sol'!Print_Titles</vt:lpstr>
      <vt:lpstr>'gpt-5.6-terra'!Print_Titles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　RAFAEL　MUGI</cp:lastModifiedBy>
  <dcterms:created xsi:type="dcterms:W3CDTF">2026-09-09T14:14:09Z</dcterms:created>
  <dcterms:modified xsi:type="dcterms:W3CDTF">2026-09-09T14:46:38Z</dcterms:modified>
</cp:coreProperties>
</file>